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表-一頁式戰略畫布" sheetId="1" state="visible" r:id="rId1"/>
    <sheet name="主表一-場景盤點" sheetId="2" state="visible" r:id="rId2"/>
    <sheet name="主表二-架構與資安" sheetId="3" state="visible" r:id="rId3"/>
    <sheet name="主表三-試點與變革" sheetId="4" state="visible" r:id="rId4"/>
    <sheet name="主表四-營運與治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5A623"/>
      <sz val="9"/>
    </font>
    <font>
      <name val="Calibri"/>
      <b val="1"/>
      <color rgb="00FFFFFF"/>
      <sz val="11"/>
    </font>
    <font>
      <name val="Calibri"/>
      <color rgb="005D6D7E"/>
      <sz val="9"/>
    </font>
    <font>
      <name val="Calibri"/>
      <color rgb="007F8C8D"/>
      <sz val="8"/>
    </font>
    <font>
      <name val="Calibri"/>
      <b val="1"/>
      <color rgb="00FFFFFF"/>
      <sz val="13"/>
    </font>
    <font>
      <name val="Calibri"/>
      <color rgb="001A5276"/>
      <sz val="9"/>
    </font>
    <font>
      <name val="Calibri"/>
      <b val="1"/>
      <color rgb="00FFFFFF"/>
      <sz val="10"/>
    </font>
    <font>
      <name val="Calibri"/>
      <b val="1"/>
      <color rgb="00B7950B"/>
      <sz val="9"/>
    </font>
    <font>
      <name val="Calibri"/>
      <color rgb="002C3E50"/>
      <sz val="9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1B4F72"/>
      </patternFill>
    </fill>
    <fill>
      <patternFill patternType="solid">
        <fgColor rgb="00D6EAF8"/>
      </patternFill>
    </fill>
    <fill>
      <patternFill patternType="solid">
        <fgColor rgb="00145A32"/>
      </patternFill>
    </fill>
    <fill>
      <patternFill patternType="solid">
        <fgColor rgb="00D5F5E3"/>
      </patternFill>
    </fill>
    <fill>
      <patternFill patternType="solid">
        <fgColor rgb="006E2F8A"/>
      </patternFill>
    </fill>
    <fill>
      <patternFill patternType="solid">
        <fgColor rgb="00E8DAEF"/>
      </patternFill>
    </fill>
    <fill>
      <patternFill patternType="solid">
        <fgColor rgb="007D3C14"/>
      </patternFill>
    </fill>
    <fill>
      <patternFill patternType="solid">
        <fgColor rgb="00FAE5D3"/>
      </patternFill>
    </fill>
    <fill>
      <patternFill patternType="solid">
        <fgColor rgb="00E94560"/>
      </patternFill>
    </fill>
    <fill>
      <patternFill patternType="solid">
        <fgColor rgb="00F2F3F4"/>
      </patternFill>
    </fill>
    <fill>
      <patternFill patternType="solid">
        <fgColor rgb="00FEF9E7"/>
      </patternFill>
    </fill>
  </fills>
  <borders count="34">
    <border>
      <left/>
      <right/>
      <top/>
      <bottom/>
      <diagonal/>
    </border>
    <border>
      <left style="medium">
        <color rgb="001B4F72"/>
      </left>
      <right style="medium">
        <color rgb="001B4F72"/>
      </right>
      <top style="medium">
        <color rgb="001B4F72"/>
      </top>
      <bottom style="medium">
        <color rgb="001B4F72"/>
      </bottom>
    </border>
    <border>
      <left style="medium">
        <color rgb="00145A32"/>
      </left>
      <right style="medium">
        <color rgb="00145A32"/>
      </right>
      <top style="medium">
        <color rgb="00145A32"/>
      </top>
      <bottom style="medium">
        <color rgb="00145A32"/>
      </bottom>
    </border>
    <border>
      <left style="medium">
        <color rgb="006E2F8A"/>
      </left>
      <right style="medium">
        <color rgb="006E2F8A"/>
      </right>
      <top style="medium">
        <color rgb="006E2F8A"/>
      </top>
      <bottom style="medium">
        <color rgb="006E2F8A"/>
      </bottom>
    </border>
    <border>
      <left style="medium">
        <color rgb="007D3C14"/>
      </left>
      <right style="medium">
        <color rgb="007D3C14"/>
      </right>
      <top style="medium">
        <color rgb="007D3C14"/>
      </top>
      <bottom style="medium">
        <color rgb="007D3C14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medium">
        <color rgb="006E2F8A"/>
      </top>
      <bottom/>
      <diagonal/>
    </border>
    <border>
      <left style="medium">
        <color rgb="006E2F8A"/>
      </left>
      <right/>
      <top/>
      <bottom/>
      <diagonal/>
    </border>
    <border>
      <left/>
      <right style="medium">
        <color rgb="006E2F8A"/>
      </right>
      <top style="medium">
        <color rgb="006E2F8A"/>
      </top>
      <bottom/>
      <diagonal/>
    </border>
    <border>
      <left/>
      <right style="medium">
        <color rgb="006E2F8A"/>
      </right>
      <top/>
      <bottom/>
      <diagonal/>
    </border>
    <border>
      <left style="medium">
        <color rgb="006E2F8A"/>
      </left>
      <right/>
      <top/>
      <bottom style="medium">
        <color rgb="006E2F8A"/>
      </bottom>
      <diagonal/>
    </border>
    <border>
      <left/>
      <right/>
      <top/>
      <bottom style="medium">
        <color rgb="006E2F8A"/>
      </bottom>
      <diagonal/>
    </border>
    <border>
      <left/>
      <right style="medium">
        <color rgb="006E2F8A"/>
      </right>
      <top/>
      <bottom style="medium">
        <color rgb="006E2F8A"/>
      </bottom>
      <diagonal/>
    </border>
    <border>
      <left/>
      <right/>
      <top style="medium">
        <color rgb="001B4F72"/>
      </top>
      <bottom/>
      <diagonal/>
    </border>
    <border>
      <left style="medium">
        <color rgb="001B4F72"/>
      </left>
      <right/>
      <top/>
      <bottom/>
      <diagonal/>
    </border>
    <border>
      <left/>
      <right style="medium">
        <color rgb="001B4F72"/>
      </right>
      <top style="medium">
        <color rgb="001B4F72"/>
      </top>
      <bottom/>
      <diagonal/>
    </border>
    <border>
      <left/>
      <right style="medium">
        <color rgb="001B4F72"/>
      </right>
      <top/>
      <bottom/>
      <diagonal/>
    </border>
    <border>
      <left style="medium">
        <color rgb="001B4F72"/>
      </left>
      <right/>
      <top/>
      <bottom style="medium">
        <color rgb="001B4F72"/>
      </bottom>
      <diagonal/>
    </border>
    <border>
      <left/>
      <right/>
      <top/>
      <bottom style="medium">
        <color rgb="001B4F72"/>
      </bottom>
      <diagonal/>
    </border>
    <border>
      <left/>
      <right style="medium">
        <color rgb="001B4F72"/>
      </right>
      <top/>
      <bottom style="medium">
        <color rgb="001B4F72"/>
      </bottom>
      <diagonal/>
    </border>
    <border>
      <left/>
      <right/>
      <top style="medium">
        <color rgb="007D3C14"/>
      </top>
      <bottom/>
      <diagonal/>
    </border>
    <border>
      <left style="medium">
        <color rgb="007D3C14"/>
      </left>
      <right/>
      <top/>
      <bottom/>
      <diagonal/>
    </border>
    <border>
      <left/>
      <right style="medium">
        <color rgb="007D3C14"/>
      </right>
      <top style="medium">
        <color rgb="007D3C14"/>
      </top>
      <bottom/>
      <diagonal/>
    </border>
    <border>
      <left/>
      <right style="medium">
        <color rgb="007D3C14"/>
      </right>
      <top/>
      <bottom/>
      <diagonal/>
    </border>
    <border>
      <left style="medium">
        <color rgb="007D3C14"/>
      </left>
      <right/>
      <top/>
      <bottom style="medium">
        <color rgb="007D3C14"/>
      </bottom>
      <diagonal/>
    </border>
    <border>
      <left/>
      <right/>
      <top/>
      <bottom style="medium">
        <color rgb="007D3C14"/>
      </bottom>
      <diagonal/>
    </border>
    <border>
      <left/>
      <right style="medium">
        <color rgb="007D3C14"/>
      </right>
      <top/>
      <bottom style="medium">
        <color rgb="007D3C14"/>
      </bottom>
      <diagonal/>
    </border>
    <border>
      <left/>
      <right/>
      <top style="medium">
        <color rgb="00145A32"/>
      </top>
      <bottom/>
      <diagonal/>
    </border>
    <border>
      <left style="medium">
        <color rgb="00145A32"/>
      </left>
      <right/>
      <top/>
      <bottom/>
      <diagonal/>
    </border>
    <border>
      <left/>
      <right style="medium">
        <color rgb="00145A32"/>
      </right>
      <top style="medium">
        <color rgb="00145A32"/>
      </top>
      <bottom/>
      <diagonal/>
    </border>
    <border>
      <left/>
      <right style="medium">
        <color rgb="00145A32"/>
      </right>
      <top/>
      <bottom/>
      <diagonal/>
    </border>
    <border>
      <left style="medium">
        <color rgb="00145A32"/>
      </left>
      <right/>
      <top/>
      <bottom style="medium">
        <color rgb="00145A32"/>
      </bottom>
      <diagonal/>
    </border>
    <border>
      <left/>
      <right/>
      <top/>
      <bottom style="medium">
        <color rgb="00145A32"/>
      </bottom>
      <diagonal/>
    </border>
    <border>
      <left/>
      <right style="medium">
        <color rgb="00145A32"/>
      </right>
      <top/>
      <bottom style="medium">
        <color rgb="00145A32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left" vertical="top" wrapText="1"/>
    </xf>
    <xf numFmtId="0" fontId="4" fillId="9" borderId="3" applyAlignment="1" pivotButton="0" quotePrefix="0" xfId="0">
      <alignment horizontal="left" vertical="top" wrapText="1"/>
    </xf>
    <xf numFmtId="0" fontId="3" fillId="10" borderId="0" applyAlignment="1" pivotButton="0" quotePrefix="0" xfId="0">
      <alignment horizontal="center" vertical="center" wrapText="1"/>
    </xf>
    <xf numFmtId="0" fontId="4" fillId="11" borderId="4" applyAlignment="1" pivotButton="0" quotePrefix="0" xfId="0">
      <alignment horizontal="left" vertical="top" wrapText="1"/>
    </xf>
    <xf numFmtId="0" fontId="3" fillId="1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0" fontId="8" fillId="4" borderId="5" applyAlignment="1" pivotButton="0" quotePrefix="0" xfId="0">
      <alignment horizontal="center" vertical="center" wrapText="1"/>
    </xf>
    <xf numFmtId="0" fontId="4" fillId="13" borderId="5" applyAlignment="1" pivotButton="0" quotePrefix="0" xfId="0">
      <alignment horizontal="left" vertical="center" wrapText="1"/>
    </xf>
    <xf numFmtId="0" fontId="9" fillId="14" borderId="5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0" fontId="7" fillId="14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0" fontId="8" fillId="6" borderId="5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left" vertical="center" wrapText="1"/>
    </xf>
    <xf numFmtId="0" fontId="8" fillId="8" borderId="5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left" vertical="center" wrapText="1"/>
    </xf>
    <xf numFmtId="0" fontId="8" fillId="10" borderId="5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16.5" customWidth="1" min="1" max="1"/>
    <col width="16.5" customWidth="1" min="2" max="2"/>
    <col width="16.5" customWidth="1" min="3" max="3"/>
    <col width="16.5" customWidth="1" min="4" max="4"/>
    <col width="16.5" customWidth="1" min="5" max="5"/>
    <col width="16.5" customWidth="1" min="6" max="6"/>
    <col width="16.5" customWidth="1" min="7" max="7"/>
    <col width="16.5" customWidth="1" min="8" max="8"/>
    <col width="16.5" customWidth="1" min="9" max="9"/>
    <col width="16.5" customWidth="1" min="10" max="10"/>
    <col width="16.5" customWidth="1" min="11" max="11"/>
    <col width="16.5" customWidth="1" min="12" max="12"/>
  </cols>
  <sheetData>
    <row r="1" ht="40" customHeight="1">
      <c r="A1" s="1" t="inlineStr">
        <is>
          <t>🏆  鳳凰 AI 企業 AI 一頁式總體戰略畫布 (One-Page Strategy Canvas v2026)</t>
        </is>
      </c>
    </row>
    <row r="2" ht="20" customHeight="1">
      <c r="A2" s="2" t="inlineStr">
        <is>
          <t>【填寫說明】此為濃縮呈報版，彙整四張主表的核心決策。請在各格中填入關鍵結論，最終提交 CEO / 董事會使用。</t>
        </is>
      </c>
    </row>
    <row r="4" ht="22" customHeight="1">
      <c r="A4" s="3" t="inlineStr">
        <is>
          <t>① 核心業務痛點與商業價值</t>
        </is>
      </c>
      <c r="E4" s="4" t="inlineStr">
        <is>
          <t>② 技術架構與 Buy vs. Build</t>
        </is>
      </c>
      <c r="I4" s="5" t="inlineStr">
        <is>
          <t>③ 資料資產與資安三道防線</t>
        </is>
      </c>
    </row>
    <row r="5" ht="22" customHeight="1">
      <c r="A5" s="6" t="inlineStr">
        <is>
          <t>▪ 最重要的 1~3 個業務痛點：
▪ 目標使用者：
▪ 預期年度 ROI（量化）：
▪ 試點場景名稱：</t>
        </is>
      </c>
      <c r="B5" s="29" t="n"/>
      <c r="C5" s="29" t="n"/>
      <c r="D5" s="30" t="n"/>
      <c r="E5" s="7" t="inlineStr">
        <is>
          <t>▪ 技術路徑（SaaS/API/私有化）：
▪ 採用核心模型：
▪ Buy vs Build 決策理由：
▪ 上線預計時程：</t>
        </is>
      </c>
      <c r="F5" s="31" t="n"/>
      <c r="G5" s="31" t="n"/>
      <c r="H5" s="32" t="n"/>
      <c r="I5" s="8" t="inlineStr">
        <is>
          <t>▪ 核心資料來源與格式：
▪ 第一道防線（個資遮罩）：
▪ 第二道防線（Guardrails）：
▪ 第三道防線（審計日誌）：</t>
        </is>
      </c>
      <c r="J5" s="33" t="n"/>
      <c r="K5" s="33" t="n"/>
      <c r="L5" s="34" t="n"/>
    </row>
    <row r="6" ht="22" customHeight="1">
      <c r="A6" s="35" t="n"/>
      <c r="D6" s="36" t="n"/>
      <c r="E6" s="37" t="n"/>
      <c r="H6" s="38" t="n"/>
      <c r="I6" s="39" t="n"/>
      <c r="L6" s="40" t="n"/>
    </row>
    <row r="7" ht="22" customHeight="1">
      <c r="A7" s="35" t="n"/>
      <c r="D7" s="36" t="n"/>
      <c r="E7" s="37" t="n"/>
      <c r="H7" s="38" t="n"/>
      <c r="I7" s="39" t="n"/>
      <c r="L7" s="40" t="n"/>
    </row>
    <row r="8" ht="22" customHeight="1">
      <c r="A8" s="35" t="n"/>
      <c r="D8" s="36" t="n"/>
      <c r="E8" s="37" t="n"/>
      <c r="H8" s="38" t="n"/>
      <c r="I8" s="39" t="n"/>
      <c r="L8" s="40" t="n"/>
    </row>
    <row r="9" ht="22" customHeight="1">
      <c r="A9" s="35" t="n"/>
      <c r="D9" s="36" t="n"/>
      <c r="E9" s="37" t="n"/>
      <c r="H9" s="38" t="n"/>
      <c r="I9" s="39" t="n"/>
      <c r="L9" s="40" t="n"/>
    </row>
    <row r="10" ht="22" customHeight="1">
      <c r="A10" s="35" t="n"/>
      <c r="D10" s="36" t="n"/>
      <c r="E10" s="37" t="n"/>
      <c r="H10" s="38" t="n"/>
      <c r="I10" s="39" t="n"/>
      <c r="L10" s="40" t="n"/>
    </row>
    <row r="11" ht="22" customHeight="1">
      <c r="A11" s="41" t="n"/>
      <c r="B11" s="42" t="n"/>
      <c r="C11" s="42" t="n"/>
      <c r="D11" s="43" t="n"/>
      <c r="E11" s="44" t="n"/>
      <c r="F11" s="45" t="n"/>
      <c r="G11" s="45" t="n"/>
      <c r="H11" s="46" t="n"/>
      <c r="I11" s="47" t="n"/>
      <c r="J11" s="48" t="n"/>
      <c r="K11" s="48" t="n"/>
      <c r="L11" s="49" t="n"/>
    </row>
    <row r="12" ht="22" customHeight="1"/>
    <row r="13" ht="22" customHeight="1">
      <c r="A13" s="3" t="inlineStr">
        <is>
          <t>④ 試點計畫與擴展時程</t>
        </is>
      </c>
      <c r="E13" s="5" t="inlineStr">
        <is>
          <t>⑤ 變革管理與人機協作比例</t>
        </is>
      </c>
      <c r="I13" s="9" t="inlineStr">
        <is>
          <t>⑥ 治理、合規與持續維運</t>
        </is>
      </c>
    </row>
    <row r="14" ht="22" customHeight="1">
      <c r="A14" s="6" t="inlineStr">
        <is>
          <t>▪ 試點部門與人數：
▪ 試點週期：
▪ Quick-Win KPI（量化）：
▪ 擴展複製路徑：</t>
        </is>
      </c>
      <c r="B14" s="29" t="n"/>
      <c r="C14" s="29" t="n"/>
      <c r="D14" s="30" t="n"/>
      <c r="E14" s="8" t="inlineStr">
        <is>
          <t>▪ 一線員工核心阻力：
▪ 變革化解行動（3項）：
▪ 人機協作角色（HITL）：
▪ 技能培訓計畫：</t>
        </is>
      </c>
      <c r="F14" s="33" t="n"/>
      <c r="G14" s="33" t="n"/>
      <c r="H14" s="34" t="n"/>
      <c r="I14" s="10" t="inlineStr">
        <is>
          <t>▪ 人機決策分工（HITL）：
▪ 單月 API 預算閾值：
▪ LLMOps 維運責任人：
▪ ISO 42001 稽核計畫：</t>
        </is>
      </c>
      <c r="J14" s="50" t="n"/>
      <c r="K14" s="50" t="n"/>
      <c r="L14" s="51" t="n"/>
    </row>
    <row r="15" ht="22" customHeight="1">
      <c r="A15" s="35" t="n"/>
      <c r="D15" s="36" t="n"/>
      <c r="E15" s="39" t="n"/>
      <c r="H15" s="40" t="n"/>
      <c r="I15" s="52" t="n"/>
      <c r="L15" s="53" t="n"/>
    </row>
    <row r="16" ht="22" customHeight="1">
      <c r="A16" s="35" t="n"/>
      <c r="D16" s="36" t="n"/>
      <c r="E16" s="39" t="n"/>
      <c r="H16" s="40" t="n"/>
      <c r="I16" s="52" t="n"/>
      <c r="L16" s="53" t="n"/>
    </row>
    <row r="17" ht="22" customHeight="1">
      <c r="A17" s="35" t="n"/>
      <c r="D17" s="36" t="n"/>
      <c r="E17" s="39" t="n"/>
      <c r="H17" s="40" t="n"/>
      <c r="I17" s="52" t="n"/>
      <c r="L17" s="53" t="n"/>
    </row>
    <row r="18" ht="22" customHeight="1">
      <c r="A18" s="35" t="n"/>
      <c r="D18" s="36" t="n"/>
      <c r="E18" s="39" t="n"/>
      <c r="H18" s="40" t="n"/>
      <c r="I18" s="52" t="n"/>
      <c r="L18" s="53" t="n"/>
    </row>
    <row r="19" ht="22" customHeight="1">
      <c r="A19" s="35" t="n"/>
      <c r="D19" s="36" t="n"/>
      <c r="E19" s="39" t="n"/>
      <c r="H19" s="40" t="n"/>
      <c r="I19" s="52" t="n"/>
      <c r="L19" s="53" t="n"/>
    </row>
    <row r="20" ht="22" customHeight="1">
      <c r="A20" s="41" t="n"/>
      <c r="B20" s="42" t="n"/>
      <c r="C20" s="42" t="n"/>
      <c r="D20" s="43" t="n"/>
      <c r="E20" s="47" t="n"/>
      <c r="F20" s="48" t="n"/>
      <c r="G20" s="48" t="n"/>
      <c r="H20" s="49" t="n"/>
      <c r="I20" s="54" t="n"/>
      <c r="J20" s="55" t="n"/>
      <c r="K20" s="55" t="n"/>
      <c r="L20" s="56" t="n"/>
    </row>
    <row r="21" ht="22" customHeight="1"/>
    <row r="22" ht="32" customHeight="1">
      <c r="A22" s="11" t="inlineStr">
        <is>
          <t>🏆  終極戰略目標：建立企業獨一無二的「AI-Native 營運護城河」，從 POC 死亡谷突破，達成可量化、可持續擴展的 AI 落地 ROI</t>
        </is>
      </c>
    </row>
    <row r="23" ht="18" customHeight="1">
      <c r="A23" s="12" t="inlineStr">
        <is>
          <t>© 2026 鳳凰 AI | 陳文家顧問 | enterprise-ai-talent-framework | MIT License | 商業合作請聯繫：allmyway2007@gmail.com</t>
        </is>
      </c>
    </row>
  </sheetData>
  <mergeCells count="16">
    <mergeCell ref="I5:L11"/>
    <mergeCell ref="I13:L13"/>
    <mergeCell ref="A2:L2"/>
    <mergeCell ref="A5:D11"/>
    <mergeCell ref="E14:H20"/>
    <mergeCell ref="I14:L20"/>
    <mergeCell ref="A4:D4"/>
    <mergeCell ref="E4:H4"/>
    <mergeCell ref="A1:L1"/>
    <mergeCell ref="I4:L4"/>
    <mergeCell ref="A23:L23"/>
    <mergeCell ref="A14:D20"/>
    <mergeCell ref="A22:L22"/>
    <mergeCell ref="A13:D13"/>
    <mergeCell ref="E5:H11"/>
    <mergeCell ref="E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32" customWidth="1" min="4" max="4"/>
    <col width="14" customWidth="1" min="5" max="5"/>
    <col width="14" customWidth="1" min="6" max="6"/>
    <col width="20" customWidth="1" min="7" max="7"/>
    <col width="18" customWidth="1" min="8" max="8"/>
  </cols>
  <sheetData>
    <row r="1" ht="32" customHeight="1">
      <c r="A1" s="13" t="inlineStr">
        <is>
          <t>📋 主表一：企業 AI 場景盤點畫布 (Scenario Discovery Canvas)</t>
        </is>
      </c>
    </row>
    <row r="2" ht="22" customHeight="1">
      <c r="A2" s="14" t="inlineStr">
        <is>
          <t xml:space="preserve">  ℹ️ 使用說明：從業務痛點出發，填寫每個 AI 應用場景。「ROI 評估指數」欄位會自動計算（勿修改）。完成後以「導入優先級」排序，選出前 3 名作為試點專案。</t>
        </is>
      </c>
    </row>
    <row r="3" ht="40" customHeight="1">
      <c r="A3" s="15" t="inlineStr">
        <is>
          <t>痛點業務流程
(具體描述，非技術名詞)</t>
        </is>
      </c>
      <c r="B3" s="15" t="inlineStr">
        <is>
          <t>主責部門</t>
        </is>
      </c>
      <c r="C3" s="15" t="inlineStr">
        <is>
          <t>核心 AI 任務
(分類/問答/摘要/預測/生成)</t>
        </is>
      </c>
      <c r="D3" s="15" t="inlineStr">
        <is>
          <t>預期商業價值
(請量化：如省 50% 工時)</t>
        </is>
      </c>
      <c r="E3" s="15" t="inlineStr">
        <is>
          <t>商業價值評分 V
(1=低 / 3=中 / 5=高)</t>
        </is>
      </c>
      <c r="F3" s="15" t="inlineStr">
        <is>
          <t>數據就緒度 D
(1=無數據 / 5=高度就緒)</t>
        </is>
      </c>
      <c r="G3" s="15" t="inlineStr">
        <is>
          <t>使用阻力 R
(L=低 / M=中 / H=高)</t>
        </is>
      </c>
      <c r="H3" s="15" t="inlineStr">
        <is>
          <t>🤖 ROI 評估指數
【自動計算，勿修改】</t>
        </is>
      </c>
    </row>
    <row r="4" ht="55" customHeight="1">
      <c r="A4" s="16" t="inlineStr">
        <is>
          <t>售後技術客服查手冊速度慢
→ 導入 RAG 企業知識庫</t>
        </is>
      </c>
      <c r="B4" s="16" t="inlineStr">
        <is>
          <t>售後服務部</t>
        </is>
      </c>
      <c r="C4" s="16" t="inlineStr">
        <is>
          <t>Q&amp;A (問答/RAG)</t>
        </is>
      </c>
      <c r="D4" s="16" t="inlineStr">
        <is>
          <t>查閱時間從 30 分降至 1 分鐘
→ 預估年省 600 工時</t>
        </is>
      </c>
      <c r="E4" s="16" t="inlineStr">
        <is>
          <t>5</t>
        </is>
      </c>
      <c r="F4" s="16" t="inlineStr">
        <is>
          <t>4</t>
        </is>
      </c>
      <c r="G4" s="16" t="inlineStr">
        <is>
          <t>L（客服渴望減輕負擔）</t>
        </is>
      </c>
      <c r="H4" s="17">
        <f>IF(G4="","",ROUND(VALUE(LEFT(E4,1))*0.5+VALUE(LEFT(F4,1))*0.3+IF(LEFT(G4,1)="H",1,IF(LEFT(G4,1)="M",3,5))*0.2,1))</f>
        <v/>
      </c>
    </row>
    <row r="5" ht="55" customHeight="1">
      <c r="A5" s="16" t="inlineStr">
        <is>
          <t>行銷文案撰寫耗時費力
→ 導入 AI 生成草稿</t>
        </is>
      </c>
      <c r="B5" s="16" t="inlineStr">
        <is>
          <t>行銷部</t>
        </is>
      </c>
      <c r="C5" s="16" t="inlineStr">
        <is>
          <t>Generation (生成)</t>
        </is>
      </c>
      <c r="D5" s="16" t="inlineStr">
        <is>
          <t>文案產出速度提升 5 倍
→ 預估年省 200 工時</t>
        </is>
      </c>
      <c r="E5" s="16" t="inlineStr">
        <is>
          <t>4</t>
        </is>
      </c>
      <c r="F5" s="16" t="inlineStr">
        <is>
          <t>3</t>
        </is>
      </c>
      <c r="G5" s="16" t="inlineStr">
        <is>
          <t>M（需要人員調整工作習慣）</t>
        </is>
      </c>
      <c r="H5" s="17">
        <f>IF(G5="","",ROUND(VALUE(LEFT(E5,1))*0.5+VALUE(LEFT(F5,1))*0.3+IF(LEFT(G5,1)="H",1,IF(LEFT(G5,1)="M",3,5))*0.2,1))</f>
        <v/>
      </c>
    </row>
    <row r="6" ht="55" customHeight="1">
      <c r="A6" s="18" t="inlineStr"/>
      <c r="B6" s="18" t="inlineStr"/>
      <c r="C6" s="18" t="inlineStr"/>
      <c r="D6" s="18" t="inlineStr"/>
      <c r="E6" s="18" t="inlineStr"/>
      <c r="F6" s="18" t="inlineStr"/>
      <c r="G6" s="18" t="inlineStr"/>
      <c r="H6" s="17">
        <f>IF(G6="","",ROUND(VALUE(LEFT(E6,1))*0.5+VALUE(LEFT(F6,1))*0.3+IF(LEFT(G6,1)="H",1,IF(LEFT(G6,1)="M",3,5))*0.2,1))</f>
        <v/>
      </c>
    </row>
    <row r="7" ht="55" customHeight="1">
      <c r="A7" s="18" t="inlineStr"/>
      <c r="B7" s="18" t="inlineStr"/>
      <c r="C7" s="18" t="inlineStr"/>
      <c r="D7" s="18" t="inlineStr"/>
      <c r="E7" s="18" t="inlineStr"/>
      <c r="F7" s="18" t="inlineStr"/>
      <c r="G7" s="18" t="inlineStr"/>
      <c r="H7" s="17">
        <f>IF(G7="","",ROUND(VALUE(LEFT(E7,1))*0.5+VALUE(LEFT(F7,1))*0.3+IF(LEFT(G7,1)="H",1,IF(LEFT(G7,1)="M",3,5))*0.2,1))</f>
        <v/>
      </c>
    </row>
    <row r="8" ht="55" customHeight="1">
      <c r="A8" s="18" t="inlineStr"/>
      <c r="B8" s="18" t="inlineStr"/>
      <c r="C8" s="18" t="inlineStr"/>
      <c r="D8" s="18" t="inlineStr"/>
      <c r="E8" s="18" t="inlineStr"/>
      <c r="F8" s="18" t="inlineStr"/>
      <c r="G8" s="18" t="inlineStr"/>
      <c r="H8" s="17">
        <f>IF(G8="","",ROUND(VALUE(LEFT(E8,1))*0.5+VALUE(LEFT(F8,1))*0.3+IF(LEFT(G8,1)="H",1,IF(LEFT(G8,1)="M",3,5))*0.2,1))</f>
        <v/>
      </c>
    </row>
    <row r="9" ht="55" customHeight="1">
      <c r="A9" s="18" t="inlineStr"/>
      <c r="B9" s="18" t="inlineStr"/>
      <c r="C9" s="18" t="inlineStr"/>
      <c r="D9" s="18" t="inlineStr"/>
      <c r="E9" s="18" t="inlineStr"/>
      <c r="F9" s="18" t="inlineStr"/>
      <c r="G9" s="18" t="inlineStr"/>
      <c r="H9" s="17">
        <f>IF(G9="","",ROUND(VALUE(LEFT(E9,1))*0.5+VALUE(LEFT(F9,1))*0.3+IF(LEFT(G9,1)="H",1,IF(LEFT(G9,1)="M",3,5))*0.2,1))</f>
        <v/>
      </c>
    </row>
    <row r="10" ht="55" customHeight="1">
      <c r="A10" s="18" t="inlineStr"/>
      <c r="B10" s="18" t="inlineStr"/>
      <c r="C10" s="18" t="inlineStr"/>
      <c r="D10" s="18" t="inlineStr"/>
      <c r="E10" s="18" t="inlineStr"/>
      <c r="F10" s="18" t="inlineStr"/>
      <c r="G10" s="18" t="inlineStr"/>
      <c r="H10" s="17">
        <f>IF(G10="","",ROUND(VALUE(LEFT(E10,1))*0.5+VALUE(LEFT(F10,1))*0.3+IF(LEFT(G10,1)="H",1,IF(LEFT(G10,1)="M",3,5))*0.2,1))</f>
        <v/>
      </c>
    </row>
    <row r="11" ht="22" customHeight="1">
      <c r="A11" s="19" t="inlineStr">
        <is>
          <t xml:space="preserve">  💡 V 值評分指引：1=省時效益微小 | 3=省時顯著且有輔助性收益 | 5=直接提升 ROI 或節省關鍵工時  |  D 值評分：1=無任何數據 | 3=數位化但未整理 | 5=已有結構化資料庫或 API  |  R 值：L=員工主動需要 / M=需調整習慣 / H=員工恐懼或流程極複雜</t>
        </is>
      </c>
    </row>
  </sheetData>
  <mergeCells count="3">
    <mergeCell ref="A11:H11"/>
    <mergeCell ref="A2:H2"/>
    <mergeCell ref="A1:H1"/>
  </mergeCells>
  <dataValidations count="1">
    <dataValidation sqref="B4 B5 B6 B7 B8 B9 B10" showDropDown="0" showInputMessage="0" showErrorMessage="0" allowBlank="0" type="list">
      <formula1>"客服部,製造部,行銷部,財務部,HR部,研發部,資訊部,行政部,業務部,供應鏈部"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25" customWidth="1" min="4" max="4"/>
    <col width="25" customWidth="1" min="5" max="5"/>
    <col width="28" customWidth="1" min="6" max="6"/>
    <col width="25" customWidth="1" min="7" max="7"/>
  </cols>
  <sheetData>
    <row r="1" ht="32" customHeight="1">
      <c r="A1" s="20" t="inlineStr">
        <is>
          <t>📋 主表二：資料基礎與方案架構畫布 (Data &amp; Architecture Canvas)</t>
        </is>
      </c>
    </row>
    <row r="2" ht="22" customHeight="1">
      <c r="A2" s="21" t="inlineStr">
        <is>
          <t xml:space="preserve">  ℹ️ 使用說明：針對主表一篩選出的優先場景，逐一規劃技術路徑與三道安全防線。每個場景填一列。</t>
        </is>
      </c>
    </row>
    <row r="3" ht="40" customHeight="1">
      <c r="A3" s="22" t="inlineStr">
        <is>
          <t>場景名稱
(複製自主表一)</t>
        </is>
      </c>
      <c r="B3" s="22" t="inlineStr">
        <is>
          <t>技術路徑
(SaaS買/API客製/私有化)</t>
        </is>
      </c>
      <c r="C3" s="22" t="inlineStr">
        <is>
          <t>核心模型配置</t>
        </is>
      </c>
      <c r="D3" s="22" t="inlineStr">
        <is>
          <t>🛡️ 第一道防線
個資遮罩 / DLP</t>
        </is>
      </c>
      <c r="E3" s="22" t="inlineStr">
        <is>
          <t>🛡️ 第二道防線
Guardrails / 防注入</t>
        </is>
      </c>
      <c r="F3" s="22" t="inlineStr">
        <is>
          <t>🛡️ 第三道防線
審計日誌維度</t>
        </is>
      </c>
      <c r="G3" s="22" t="inlineStr">
        <is>
          <t>資料來源與格式</t>
        </is>
      </c>
    </row>
    <row r="4" ht="55" customHeight="1">
      <c r="A4" s="16" t="inlineStr">
        <is>
          <t>售後技術客服 RAG 系統</t>
        </is>
      </c>
      <c r="B4" s="16" t="inlineStr">
        <is>
          <t>Build - API 客製
(串接 Gemini API + Chroma 向量庫)</t>
        </is>
      </c>
      <c r="C4" s="16" t="inlineStr">
        <is>
          <t>Gemini 1.5 Flash
+ 自建 Embedding</t>
        </is>
      </c>
      <c r="D4" s="16" t="inlineStr">
        <is>
          <t>遮蔽 PDF 手冊中的
客戶姓名與電話</t>
        </is>
      </c>
      <c r="E4" s="16" t="inlineStr">
        <is>
          <t>System Instruction 設定
拒絕回答非技術問題</t>
        </is>
      </c>
      <c r="F4" s="16" t="inlineStr">
        <is>
          <t>記錄：使用者ID / 提問時間
/ Token數 / 完整對話</t>
        </is>
      </c>
      <c r="G4" s="16" t="inlineStr">
        <is>
          <t>20本技術PDF手冊
+ SOP 文件資料夾</t>
        </is>
      </c>
    </row>
    <row r="5" ht="55" customHeight="1">
      <c r="A5" s="18" t="inlineStr"/>
      <c r="B5" s="18" t="inlineStr"/>
      <c r="C5" s="18" t="inlineStr"/>
      <c r="D5" s="18" t="inlineStr"/>
      <c r="E5" s="18" t="inlineStr"/>
      <c r="F5" s="18" t="inlineStr"/>
      <c r="G5" s="18" t="inlineStr"/>
    </row>
    <row r="6" ht="55" customHeight="1">
      <c r="A6" s="18" t="inlineStr"/>
      <c r="B6" s="18" t="inlineStr"/>
      <c r="C6" s="18" t="inlineStr"/>
      <c r="D6" s="18" t="inlineStr"/>
      <c r="E6" s="18" t="inlineStr"/>
      <c r="F6" s="18" t="inlineStr"/>
      <c r="G6" s="18" t="inlineStr"/>
    </row>
    <row r="7" ht="55" customHeight="1">
      <c r="A7" s="18" t="inlineStr"/>
      <c r="B7" s="18" t="inlineStr"/>
      <c r="C7" s="18" t="inlineStr"/>
      <c r="D7" s="18" t="inlineStr"/>
      <c r="E7" s="18" t="inlineStr"/>
      <c r="F7" s="18" t="inlineStr"/>
      <c r="G7" s="18" t="inlineStr"/>
    </row>
    <row r="8" ht="55" customHeight="1">
      <c r="A8" s="18" t="inlineStr"/>
      <c r="B8" s="18" t="inlineStr"/>
      <c r="C8" s="18" t="inlineStr"/>
      <c r="D8" s="18" t="inlineStr"/>
      <c r="E8" s="18" t="inlineStr"/>
      <c r="F8" s="18" t="inlineStr"/>
      <c r="G8" s="18" t="inlineStr"/>
    </row>
  </sheetData>
  <mergeCells count="2">
    <mergeCell ref="A2:G2"/>
    <mergeCell ref="A1:G1"/>
  </mergeCells>
  <dataValidations count="1">
    <dataValidation sqref="B4 B5 B6 B7 B8" showDropDown="0" showInputMessage="0" showErrorMessage="0" allowBlank="0" type="list">
      <formula1>"SaaS採購 (Buy),API客製 (Build),私有化部署 (Build),混合架構"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30" customWidth="1" min="4" max="4"/>
    <col width="30" customWidth="1" min="5" max="5"/>
    <col width="35" customWidth="1" min="6" max="6"/>
    <col width="18" customWidth="1" min="7" max="7"/>
  </cols>
  <sheetData>
    <row r="1" ht="32" customHeight="1">
      <c r="A1" s="23" t="inlineStr">
        <is>
          <t>📋 主表三：試點驗證與阻力評估畫布 (Pilot &amp; Change Canvas)</t>
        </is>
      </c>
    </row>
    <row r="2" ht="22" customHeight="1">
      <c r="A2" s="24" t="inlineStr">
        <is>
          <t xml:space="preserve">  ℹ️ 使用說明：針對選定的試點專案，設計 Quick-Win 計畫。重點是誠實評估一線阻力，並預先設計化解方案，這是決定 AI 落地成敗的關鍵！</t>
        </is>
      </c>
    </row>
    <row r="3" ht="40" customHeight="1">
      <c r="A3" s="25" t="inlineStr">
        <is>
          <t>試點場景名稱</t>
        </is>
      </c>
      <c r="B3" s="25" t="inlineStr">
        <is>
          <t>試點部門與人數
(如：高雄二廠售後組 10人)</t>
        </is>
      </c>
      <c r="C3" s="25" t="inlineStr">
        <is>
          <t>試點週期</t>
        </is>
      </c>
      <c r="D3" s="25" t="inlineStr">
        <is>
          <t>Quick-Win 量化 KPI
(必須可數字衡量)</t>
        </is>
      </c>
      <c r="E3" s="25" t="inlineStr">
        <is>
          <t>一線員工主要阻力
(請誠實填寫)</t>
        </is>
      </c>
      <c r="F3" s="25" t="inlineStr">
        <is>
          <t>變革管理化解方案
(具體行動，非口號)</t>
        </is>
      </c>
      <c r="G3" s="25" t="inlineStr">
        <is>
          <t>跨部門複製可行性
(1~5分)</t>
        </is>
      </c>
    </row>
    <row r="4" ht="55" customHeight="1">
      <c r="A4" s="16" t="inlineStr">
        <is>
          <t>售後技術客服 RAG 系統</t>
        </is>
      </c>
      <c r="B4" s="16" t="inlineStr">
        <is>
          <t>高雄二廠售後服務組
（10名客服人員）</t>
        </is>
      </c>
      <c r="C4" s="16" t="inlineStr">
        <is>
          <t>30天深度驗證</t>
        </is>
      </c>
      <c r="D4" s="16" t="inlineStr">
        <is>
          <t>客戶問題即時解決率
從 60% 提升至 90%</t>
        </is>
      </c>
      <c r="E4" s="16" t="inlineStr">
        <is>
          <t>年長客服不習慣打字查詢
擔心系統取代人力</t>
        </is>
      </c>
      <c r="F4" s="16" t="inlineStr">
        <is>
          <t>1. 加入語音輸入介面
2. 舉辦效率競賽提供獎金
3. 管理層正式承諾不因AI裁員</t>
        </is>
      </c>
      <c r="G4" s="16" t="inlineStr">
        <is>
          <t>5分（可直接複製到
台北與海外客服中心）</t>
        </is>
      </c>
    </row>
    <row r="5" ht="55" customHeight="1">
      <c r="A5" s="18" t="inlineStr"/>
      <c r="B5" s="18" t="inlineStr"/>
      <c r="C5" s="18" t="inlineStr"/>
      <c r="D5" s="18" t="inlineStr"/>
      <c r="E5" s="18" t="inlineStr"/>
      <c r="F5" s="18" t="inlineStr"/>
      <c r="G5" s="18" t="inlineStr"/>
    </row>
    <row r="6" ht="55" customHeight="1">
      <c r="A6" s="18" t="inlineStr"/>
      <c r="B6" s="18" t="inlineStr"/>
      <c r="C6" s="18" t="inlineStr"/>
      <c r="D6" s="18" t="inlineStr"/>
      <c r="E6" s="18" t="inlineStr"/>
      <c r="F6" s="18" t="inlineStr"/>
      <c r="G6" s="18" t="inlineStr"/>
    </row>
    <row r="7" ht="55" customHeight="1">
      <c r="A7" s="18" t="inlineStr"/>
      <c r="B7" s="18" t="inlineStr"/>
      <c r="C7" s="18" t="inlineStr"/>
      <c r="D7" s="18" t="inlineStr"/>
      <c r="E7" s="18" t="inlineStr"/>
      <c r="F7" s="18" t="inlineStr"/>
      <c r="G7" s="18" t="inlineStr"/>
    </row>
    <row r="8" ht="55" customHeight="1">
      <c r="A8" s="18" t="inlineStr"/>
      <c r="B8" s="18" t="inlineStr"/>
      <c r="C8" s="18" t="inlineStr"/>
      <c r="D8" s="18" t="inlineStr"/>
      <c r="E8" s="18" t="inlineStr"/>
      <c r="F8" s="18" t="inlineStr"/>
      <c r="G8" s="18" t="inlineStr"/>
    </row>
  </sheetData>
  <mergeCells count="2">
    <mergeCell ref="A2:G2"/>
    <mergeCell ref="A1:G1"/>
  </mergeCells>
  <dataValidations count="1">
    <dataValidation sqref="C4 C5 C6 C7 C8" showDropDown="0" showInputMessage="0" showErrorMessage="0" allowBlank="0" type="list">
      <formula1>"14天快速迭代,30天深度驗證,60天全面觀察,90天完整評估"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20" customWidth="1" min="3" max="3"/>
    <col width="30" customWidth="1" min="4" max="4"/>
    <col width="28" customWidth="1" min="5" max="5"/>
    <col width="30" customWidth="1" min="6" max="6"/>
    <col width="28" customWidth="1" min="7" max="7"/>
  </cols>
  <sheetData>
    <row r="1" ht="32" customHeight="1">
      <c r="A1" s="26" t="inlineStr">
        <is>
          <t>📋 主表四：營運、治理與組織變革畫布 (Ops &amp; Governance Canvas)</t>
        </is>
      </c>
    </row>
    <row r="2" ht="22" customHeight="1">
      <c r="A2" s="27" t="inlineStr">
        <is>
          <t xml:space="preserve">  ℹ️ 使用說明：系統上線後的關鍵問題——誰負責維護？預算如何控制？人機決策如何分工？此表確保系統不會在上線後因無人維護而死去。</t>
        </is>
      </c>
    </row>
    <row r="3" ht="40" customHeight="1">
      <c r="A3" s="28" t="inlineStr">
        <is>
          <t>場景名稱</t>
        </is>
      </c>
      <c r="B3" s="28" t="inlineStr">
        <is>
          <t>人機協作角色
Autonomous/Copilot/Validator</t>
        </is>
      </c>
      <c r="C3" s="28" t="inlineStr">
        <is>
          <t>單月 API
財務告警閾值 (TWD)</t>
        </is>
      </c>
      <c r="D3" s="28" t="inlineStr">
        <is>
          <t>持續維運分工
(LLMOps)</t>
        </is>
      </c>
      <c r="E3" s="28" t="inlineStr">
        <is>
          <t>技能升級計畫
(培訓天數與內容)</t>
        </is>
      </c>
      <c r="F3" s="28" t="inlineStr">
        <is>
          <t>年度績效 KPI 設計
(如何與考核掛鉤)</t>
        </is>
      </c>
      <c r="G3" s="28" t="inlineStr">
        <is>
          <t>ISO 42001 合規稽核
(Y/N + 說明)</t>
        </is>
      </c>
    </row>
    <row r="4" ht="55" customHeight="1">
      <c r="A4" s="16" t="inlineStr">
        <is>
          <t>售後技術客服 RAG</t>
        </is>
      </c>
      <c r="B4" s="16" t="inlineStr">
        <is>
          <t>🟡 Copilot
AI出草稿 → 客服確認後回覆</t>
        </is>
      </c>
      <c r="C4" s="16" t="inlineStr">
        <is>
          <t>NT$ 5,000
（超過自動告警IT主管）</t>
        </is>
      </c>
      <c r="D4" s="16" t="inlineStr">
        <is>
          <t>IT部：向量庫每週更新
客服部：知識庫勘誤回報</t>
        </is>
      </c>
      <c r="E4" s="16" t="inlineStr">
        <is>
          <t>全員 2小時
「Prompt高效提問法」培訓</t>
        </is>
      </c>
      <c r="F4" s="16" t="inlineStr">
        <is>
          <t>將「使用AI縮短結案時間」
納入客服年終績效加分項</t>
        </is>
      </c>
      <c r="G4" s="16" t="inlineStr">
        <is>
          <t>Y — 記錄對話日誌 90天
定期抽樣 5% 合規審查</t>
        </is>
      </c>
    </row>
    <row r="5" ht="55" customHeight="1">
      <c r="A5" s="18" t="inlineStr"/>
      <c r="B5" s="18" t="inlineStr"/>
      <c r="C5" s="18" t="inlineStr"/>
      <c r="D5" s="18" t="inlineStr"/>
      <c r="E5" s="18" t="inlineStr"/>
      <c r="F5" s="18" t="inlineStr"/>
      <c r="G5" s="18" t="inlineStr"/>
    </row>
    <row r="6" ht="55" customHeight="1">
      <c r="A6" s="18" t="inlineStr"/>
      <c r="B6" s="18" t="inlineStr"/>
      <c r="C6" s="18" t="inlineStr"/>
      <c r="D6" s="18" t="inlineStr"/>
      <c r="E6" s="18" t="inlineStr"/>
      <c r="F6" s="18" t="inlineStr"/>
      <c r="G6" s="18" t="inlineStr"/>
    </row>
    <row r="7" ht="55" customHeight="1">
      <c r="A7" s="18" t="inlineStr"/>
      <c r="B7" s="18" t="inlineStr"/>
      <c r="C7" s="18" t="inlineStr"/>
      <c r="D7" s="18" t="inlineStr"/>
      <c r="E7" s="18" t="inlineStr"/>
      <c r="F7" s="18" t="inlineStr"/>
      <c r="G7" s="18" t="inlineStr"/>
    </row>
    <row r="8" ht="55" customHeight="1">
      <c r="A8" s="18" t="inlineStr"/>
      <c r="B8" s="18" t="inlineStr"/>
      <c r="C8" s="18" t="inlineStr"/>
      <c r="D8" s="18" t="inlineStr"/>
      <c r="E8" s="18" t="inlineStr"/>
      <c r="F8" s="18" t="inlineStr"/>
      <c r="G8" s="18" t="inlineStr"/>
    </row>
  </sheetData>
  <mergeCells count="2">
    <mergeCell ref="A2:G2"/>
    <mergeCell ref="A1:G1"/>
  </mergeCells>
  <dataValidations count="1">
    <dataValidation sqref="B4 B5 B6 B7 B8" showDropDown="0" showInputMessage="0" showErrorMessage="0" allowBlank="0" type="list">
      <formula1>"🟢 Autonomous（AI全自動執行）,🟡 Copilot（AI草稿+人工確認）,🔴 Validator（AI建議+人類最終裁決）"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2026-05-21T10:39:34Z</dcterms:created>
  <dcterms:modified xsi:type="dcterms:W3CDTF">2026-06-12T05:08:01Z</dcterms:modified>
</cp:coreProperties>
</file>