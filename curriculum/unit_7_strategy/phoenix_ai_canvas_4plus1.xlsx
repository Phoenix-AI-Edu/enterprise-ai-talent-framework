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總表-一頁式戰略畫布" sheetId="1" state="visible" r:id="rId1"/>
    <sheet name="主表一-場景盤點" sheetId="2" state="visible" r:id="rId2"/>
    <sheet name="附表-2x2決策象限" sheetId="3" state="visible" r:id="rId3"/>
    <sheet name="主表二-架構與資安" sheetId="4" state="visible" r:id="rId4"/>
    <sheet name="主表三-試點與變革" sheetId="5" state="visible" r:id="rId5"/>
    <sheet name="附表-RAG採購5維自診" sheetId="6" state="visible" r:id="rId6"/>
    <sheet name="附表-影片工具選型與財務自診" sheetId="7" state="visible" r:id="rId7"/>
    <sheet name="附表-員工AI肖像授權" sheetId="8" state="visible" r:id="rId8"/>
    <sheet name="主表四-營運與治理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新細明體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color rgb="FFF5A623"/>
      <sz val="9"/>
    </font>
    <font>
      <name val="Calibri"/>
      <b val="1"/>
      <color rgb="FFFFFFFF"/>
      <sz val="11"/>
    </font>
    <font>
      <name val="Calibri"/>
      <color rgb="FF5D6D7E"/>
      <sz val="9"/>
    </font>
    <font>
      <name val="Calibri"/>
      <color rgb="FF7F8C8D"/>
      <sz val="8"/>
    </font>
    <font>
      <name val="Calibri"/>
      <b val="1"/>
      <color rgb="FFFFFFFF"/>
      <sz val="13"/>
    </font>
    <font>
      <name val="Calibri"/>
      <color rgb="FF1A5276"/>
      <sz val="9"/>
    </font>
    <font>
      <name val="Calibri"/>
      <b val="1"/>
      <color rgb="FFFFFFFF"/>
      <sz val="10"/>
    </font>
    <font>
      <name val="Calibri"/>
      <b val="1"/>
      <color rgb="FFB7950B"/>
      <sz val="9"/>
    </font>
    <font>
      <name val="Calibri"/>
      <color rgb="FF2C3E50"/>
      <sz val="9"/>
    </font>
    <font>
      <name val="Calibri"/>
      <color rgb="FF1F4E78"/>
      <sz val="10"/>
    </font>
    <font>
      <name val="Calibri"/>
      <b val="1"/>
      <color rgb="FF404040"/>
      <sz val="11"/>
    </font>
    <font>
      <name val="Calibri"/>
      <color rgb="FF000000"/>
      <sz val="10"/>
    </font>
    <font>
      <name val="新細明體"/>
      <charset val="136"/>
      <family val="3"/>
      <sz val="9"/>
      <scheme val="minor"/>
    </font>
    <font>
      <name val="Calibri"/>
      <b val="1"/>
      <color rgb="00FFFFFF"/>
      <sz val="13"/>
    </font>
    <font>
      <name val="Calibri"/>
      <color rgb="001A5276"/>
      <sz val="9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b val="1"/>
      <color rgb="00000000"/>
      <sz val="10"/>
    </font>
    <font>
      <name val="Calibri"/>
      <b val="1"/>
      <color rgb="00FF5B35"/>
      <sz val="11"/>
    </font>
    <font>
      <name val="Microsoft JhengHei"/>
      <b val="1"/>
      <color rgb="001F4E78"/>
      <sz val="18"/>
    </font>
    <font>
      <name val="Microsoft JhengHei"/>
      <i val="1"/>
      <sz val="12"/>
    </font>
    <font>
      <name val="Microsoft JhengHei"/>
      <b val="1"/>
      <color rgb="00FFFFFF"/>
      <sz val="14"/>
    </font>
    <font>
      <name val="Microsoft JhengHei"/>
      <sz val="12"/>
    </font>
    <font>
      <name val="Microsoft JhengHei"/>
      <b val="1"/>
      <sz val="14"/>
    </font>
    <font>
      <name val="Microsoft JhengHei"/>
      <b val="1"/>
      <color rgb="00FF0000"/>
      <sz val="14"/>
    </font>
  </fonts>
  <fills count="2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2C3E50"/>
      </patternFill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145A32"/>
      </patternFill>
    </fill>
    <fill>
      <patternFill patternType="solid">
        <fgColor rgb="FFD5F5E3"/>
      </patternFill>
    </fill>
    <fill>
      <patternFill patternType="solid">
        <fgColor rgb="FF6E2F8A"/>
      </patternFill>
    </fill>
    <fill>
      <patternFill patternType="solid">
        <fgColor rgb="FFE8DAEF"/>
      </patternFill>
    </fill>
    <fill>
      <patternFill patternType="solid">
        <fgColor rgb="FF7D3C14"/>
      </patternFill>
    </fill>
    <fill>
      <patternFill patternType="solid">
        <fgColor rgb="FFFAE5D3"/>
      </patternFill>
    </fill>
    <fill>
      <patternFill patternType="solid">
        <fgColor rgb="FFE94560"/>
      </patternFill>
    </fill>
    <fill>
      <patternFill patternType="solid">
        <fgColor rgb="FFF2F3F4"/>
      </patternFill>
    </fill>
    <fill>
      <patternFill patternType="solid">
        <fgColor rgb="FFFEF9E7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FFF2F4F4"/>
        <bgColor rgb="FFF2F4F4"/>
      </patternFill>
    </fill>
    <fill>
      <patternFill patternType="solid">
        <fgColor rgb="FFFDEDEC"/>
        <bgColor rgb="FFFDEDEC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001B4F72"/>
        <bgColor rgb="001B4F72"/>
      </patternFill>
    </fill>
    <fill>
      <patternFill patternType="solid">
        <fgColor rgb="00D6EAF8"/>
        <bgColor rgb="00D6EAF8"/>
      </patternFill>
    </fill>
    <fill>
      <patternFill patternType="solid">
        <fgColor rgb="00FCF3CF"/>
        <bgColor rgb="00FCF3CF"/>
      </patternFill>
    </fill>
    <fill>
      <patternFill patternType="solid">
        <fgColor rgb="001F4E78"/>
        <bgColor rgb="001F4E78"/>
      </patternFill>
    </fill>
  </fills>
  <borders count="46">
    <border>
      <left/>
      <right/>
      <top/>
      <bottom/>
      <diagonal/>
    </border>
    <border>
      <left style="medium">
        <color rgb="FF1B4F72"/>
      </left>
      <right style="medium">
        <color rgb="FF1B4F72"/>
      </right>
      <top style="medium">
        <color rgb="FF1B4F72"/>
      </top>
      <bottom style="medium">
        <color rgb="FF1B4F72"/>
      </bottom>
      <diagonal/>
    </border>
    <border>
      <left style="medium">
        <color rgb="FF145A32"/>
      </left>
      <right style="medium">
        <color rgb="FF145A32"/>
      </right>
      <top style="medium">
        <color rgb="FF145A32"/>
      </top>
      <bottom style="medium">
        <color rgb="FF145A32"/>
      </bottom>
      <diagonal/>
    </border>
    <border>
      <left style="medium">
        <color rgb="FF6E2F8A"/>
      </left>
      <right style="medium">
        <color rgb="FF6E2F8A"/>
      </right>
      <top style="medium">
        <color rgb="FF6E2F8A"/>
      </top>
      <bottom style="medium">
        <color rgb="FF6E2F8A"/>
      </bottom>
      <diagonal/>
    </border>
    <border>
      <left style="medium">
        <color rgb="FF7D3C14"/>
      </left>
      <right style="medium">
        <color rgb="FF7D3C14"/>
      </right>
      <top style="medium">
        <color rgb="FF7D3C14"/>
      </top>
      <bottom style="medium">
        <color rgb="FF7D3C1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medium">
        <color rgb="FF6E2F8A"/>
      </top>
      <bottom/>
      <diagonal/>
    </border>
    <border>
      <left style="medium">
        <color rgb="FF6E2F8A"/>
      </left>
      <right/>
      <top/>
      <bottom/>
      <diagonal/>
    </border>
    <border>
      <left/>
      <right style="medium">
        <color rgb="FF6E2F8A"/>
      </right>
      <top style="medium">
        <color rgb="FF6E2F8A"/>
      </top>
      <bottom/>
      <diagonal/>
    </border>
    <border>
      <left/>
      <right style="medium">
        <color rgb="FF6E2F8A"/>
      </right>
      <top/>
      <bottom/>
      <diagonal/>
    </border>
    <border>
      <left style="medium">
        <color rgb="FF6E2F8A"/>
      </left>
      <right/>
      <top/>
      <bottom style="medium">
        <color rgb="FF6E2F8A"/>
      </bottom>
      <diagonal/>
    </border>
    <border>
      <left/>
      <right/>
      <top/>
      <bottom style="medium">
        <color rgb="FF6E2F8A"/>
      </bottom>
      <diagonal/>
    </border>
    <border>
      <left/>
      <right style="medium">
        <color rgb="FF6E2F8A"/>
      </right>
      <top/>
      <bottom style="medium">
        <color rgb="FF6E2F8A"/>
      </bottom>
      <diagonal/>
    </border>
    <border>
      <left/>
      <right/>
      <top style="medium">
        <color rgb="FF1B4F72"/>
      </top>
      <bottom/>
      <diagonal/>
    </border>
    <border>
      <left style="medium">
        <color rgb="FF1B4F72"/>
      </left>
      <right/>
      <top/>
      <bottom/>
      <diagonal/>
    </border>
    <border>
      <left/>
      <right style="medium">
        <color rgb="FF1B4F72"/>
      </right>
      <top style="medium">
        <color rgb="FF1B4F72"/>
      </top>
      <bottom/>
      <diagonal/>
    </border>
    <border>
      <left/>
      <right style="medium">
        <color rgb="FF1B4F72"/>
      </right>
      <top/>
      <bottom/>
      <diagonal/>
    </border>
    <border>
      <left style="medium">
        <color rgb="FF1B4F72"/>
      </left>
      <right/>
      <top/>
      <bottom style="medium">
        <color rgb="FF1B4F72"/>
      </bottom>
      <diagonal/>
    </border>
    <border>
      <left/>
      <right/>
      <top/>
      <bottom style="medium">
        <color rgb="FF1B4F72"/>
      </bottom>
      <diagonal/>
    </border>
    <border>
      <left/>
      <right style="medium">
        <color rgb="FF1B4F72"/>
      </right>
      <top/>
      <bottom style="medium">
        <color rgb="FF1B4F72"/>
      </bottom>
      <diagonal/>
    </border>
    <border>
      <left/>
      <right/>
      <top style="medium">
        <color rgb="FF7D3C14"/>
      </top>
      <bottom/>
      <diagonal/>
    </border>
    <border>
      <left style="medium">
        <color rgb="FF7D3C14"/>
      </left>
      <right/>
      <top/>
      <bottom/>
      <diagonal/>
    </border>
    <border>
      <left/>
      <right style="medium">
        <color rgb="FF7D3C14"/>
      </right>
      <top style="medium">
        <color rgb="FF7D3C14"/>
      </top>
      <bottom/>
      <diagonal/>
    </border>
    <border>
      <left/>
      <right style="medium">
        <color rgb="FF7D3C14"/>
      </right>
      <top/>
      <bottom/>
      <diagonal/>
    </border>
    <border>
      <left style="medium">
        <color rgb="FF7D3C14"/>
      </left>
      <right/>
      <top/>
      <bottom style="medium">
        <color rgb="FF7D3C14"/>
      </bottom>
      <diagonal/>
    </border>
    <border>
      <left/>
      <right/>
      <top/>
      <bottom style="medium">
        <color rgb="FF7D3C14"/>
      </bottom>
      <diagonal/>
    </border>
    <border>
      <left/>
      <right style="medium">
        <color rgb="FF7D3C14"/>
      </right>
      <top/>
      <bottom style="medium">
        <color rgb="FF7D3C14"/>
      </bottom>
      <diagonal/>
    </border>
    <border>
      <left/>
      <right/>
      <top style="medium">
        <color rgb="FF145A32"/>
      </top>
      <bottom/>
      <diagonal/>
    </border>
    <border>
      <left style="medium">
        <color rgb="FF145A32"/>
      </left>
      <right/>
      <top/>
      <bottom/>
      <diagonal/>
    </border>
    <border>
      <left/>
      <right style="medium">
        <color rgb="FF145A32"/>
      </right>
      <top style="medium">
        <color rgb="FF145A32"/>
      </top>
      <bottom/>
      <diagonal/>
    </border>
    <border>
      <left/>
      <right style="medium">
        <color rgb="FF145A32"/>
      </right>
      <top/>
      <bottom/>
      <diagonal/>
    </border>
    <border>
      <left style="medium">
        <color rgb="FF145A32"/>
      </left>
      <right/>
      <top/>
      <bottom style="medium">
        <color rgb="FF145A32"/>
      </bottom>
      <diagonal/>
    </border>
    <border>
      <left/>
      <right/>
      <top/>
      <bottom style="medium">
        <color rgb="FF145A32"/>
      </bottom>
      <diagonal/>
    </border>
    <border>
      <left/>
      <right style="medium">
        <color rgb="FF145A32"/>
      </right>
      <top/>
      <bottom style="medium">
        <color rgb="FF145A32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/>
      <diagonal/>
    </border>
    <border>
      <left style="medium">
        <color rgb="FF1F4E78"/>
      </left>
      <right/>
      <top/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/>
      <right style="medium">
        <color rgb="FF1F4E78"/>
      </right>
      <top/>
      <bottom/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/>
      <right style="medium">
        <color rgb="FF1F4E78"/>
      </right>
      <top/>
      <bottom style="medium">
        <color rgb="FF1F4E78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8" fillId="4" borderId="5" applyAlignment="1" pivotButton="0" quotePrefix="0" xfId="0">
      <alignment horizontal="center" vertical="center" wrapText="1"/>
    </xf>
    <xf numFmtId="0" fontId="4" fillId="13" borderId="5" applyAlignment="1" pivotButton="0" quotePrefix="0" xfId="0">
      <alignment horizontal="left" vertical="center" wrapText="1"/>
    </xf>
    <xf numFmtId="0" fontId="9" fillId="14" borderId="5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8" fillId="6" borderId="5" applyAlignment="1" pivotButton="0" quotePrefix="0" xfId="0">
      <alignment horizontal="center" vertical="center" wrapText="1"/>
    </xf>
    <xf numFmtId="0" fontId="8" fillId="8" borderId="5" applyAlignment="1" pivotButton="0" quotePrefix="0" xfId="0">
      <alignment horizontal="center" vertical="center" wrapText="1"/>
    </xf>
    <xf numFmtId="0" fontId="8" fillId="10" borderId="5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1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11" borderId="4" applyAlignment="1" pivotButton="0" quotePrefix="0" xfId="0">
      <alignment horizontal="left" vertical="top" wrapText="1"/>
    </xf>
    <xf numFmtId="0" fontId="0" fillId="0" borderId="20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top" wrapText="1"/>
    </xf>
    <xf numFmtId="0" fontId="0" fillId="0" borderId="27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7" fillId="1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11" fillId="20" borderId="0" applyAlignment="1" pivotButton="0" quotePrefix="0" xfId="0">
      <alignment horizontal="left" vertical="center" wrapText="1"/>
    </xf>
    <xf numFmtId="0" fontId="13" fillId="17" borderId="3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/>
    </xf>
    <xf numFmtId="0" fontId="13" fillId="16" borderId="34" applyAlignment="1" pivotButton="0" quotePrefix="0" xfId="0">
      <alignment horizontal="left" vertical="center" wrapText="1"/>
    </xf>
    <xf numFmtId="0" fontId="13" fillId="15" borderId="3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13" fillId="18" borderId="34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15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16" fillId="22" borderId="0" applyAlignment="1" pivotButton="0" quotePrefix="0" xfId="0">
      <alignment horizontal="left" vertical="center" wrapText="1"/>
    </xf>
    <xf numFmtId="0" fontId="0" fillId="22" borderId="0" pivotButton="0" quotePrefix="0" xfId="0"/>
    <xf numFmtId="0" fontId="17" fillId="21" borderId="41" applyAlignment="1" pivotButton="0" quotePrefix="0" xfId="0">
      <alignment horizontal="center" vertical="center"/>
    </xf>
    <xf numFmtId="0" fontId="18" fillId="0" borderId="41" applyAlignment="1" pivotButton="0" quotePrefix="0" xfId="0">
      <alignment horizontal="center" vertical="center" wrapText="1"/>
    </xf>
    <xf numFmtId="0" fontId="18" fillId="0" borderId="41" applyAlignment="1" pivotButton="0" quotePrefix="0" xfId="0">
      <alignment horizontal="left" vertical="center" wrapText="1"/>
    </xf>
    <xf numFmtId="0" fontId="19" fillId="0" borderId="41" applyAlignment="1" pivotButton="0" quotePrefix="0" xfId="0">
      <alignment horizontal="center" vertical="center"/>
    </xf>
    <xf numFmtId="0" fontId="0" fillId="0" borderId="41" pivotButton="0" quotePrefix="0" xfId="0"/>
    <xf numFmtId="0" fontId="19" fillId="0" borderId="41" applyAlignment="1" pivotButton="0" quotePrefix="0" xfId="0">
      <alignment horizontal="right" vertical="center"/>
    </xf>
    <xf numFmtId="0" fontId="20" fillId="0" borderId="41" applyAlignment="1" pivotButton="0" quotePrefix="0" xfId="0">
      <alignment horizontal="center" vertical="center"/>
    </xf>
    <xf numFmtId="0" fontId="19" fillId="23" borderId="41" applyAlignment="1" pivotButton="0" quotePrefix="0" xfId="0">
      <alignment horizontal="left" vertical="center" wrapText="1"/>
    </xf>
    <xf numFmtId="0" fontId="0" fillId="0" borderId="44" pivotButton="0" quotePrefix="0" xfId="0"/>
    <xf numFmtId="0" fontId="21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3" fillId="24" borderId="45" applyAlignment="1" pivotButton="0" quotePrefix="0" xfId="0">
      <alignment horizontal="center" vertical="center" wrapText="1"/>
    </xf>
    <xf numFmtId="0" fontId="24" fillId="0" borderId="45" applyAlignment="1" pivotButton="0" quotePrefix="0" xfId="0">
      <alignment horizontal="center" vertical="center" wrapText="1"/>
    </xf>
    <xf numFmtId="0" fontId="24" fillId="0" borderId="45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:L1"/>
    </sheetView>
  </sheetViews>
  <sheetFormatPr baseColWidth="8" defaultRowHeight="15"/>
  <cols>
    <col width="16.5" customWidth="1" style="12" min="1" max="12"/>
  </cols>
  <sheetData>
    <row r="1" ht="40.05" customHeight="1" s="12">
      <c r="A1" s="37" t="inlineStr">
        <is>
          <t>🏆  鳳凰 AI 企業 AI 一頁式總體戰略畫布 (One-Page Strategy Canvas v2026)</t>
        </is>
      </c>
    </row>
    <row r="2" ht="19.95" customHeight="1" s="12">
      <c r="A2" s="18" t="inlineStr">
        <is>
          <t>【填寫說明】此為濃縮呈報版，彙整四張主表的核心決策。請在各格中填入關鍵結論，最終提交 CEO / 董事會使用。</t>
        </is>
      </c>
    </row>
    <row r="4" ht="22.05" customHeight="1" s="12">
      <c r="A4" s="35" t="inlineStr">
        <is>
          <t>① 核心業務痛點與商業價值</t>
        </is>
      </c>
      <c r="E4" s="36" t="inlineStr">
        <is>
          <t>② 技術架構與 Buy vs. Build</t>
        </is>
      </c>
      <c r="I4" s="38" t="inlineStr">
        <is>
          <t>③ 資料資產與資安三道防線</t>
        </is>
      </c>
    </row>
    <row r="5" ht="22.05" customHeight="1" s="12">
      <c r="A5" s="19" t="inlineStr">
        <is>
          <t>▪ 最重要的 1~3 個業務痛點：
▪ 目標使用者：
▪ 預期年度 ROI（量化）：
▪ 試點場景名稱：</t>
        </is>
      </c>
      <c r="B5" s="20" t="n"/>
      <c r="C5" s="20" t="n"/>
      <c r="D5" s="21" t="n"/>
      <c r="E5" s="41" t="inlineStr">
        <is>
          <t>▪ 技術路徑（SaaS/API/私有化）：
▪ 採用核心模型：
▪ Buy vs Build 決策理由：
▪ 上線預計時程：</t>
        </is>
      </c>
      <c r="F5" s="42" t="n"/>
      <c r="G5" s="42" t="n"/>
      <c r="H5" s="43" t="n"/>
      <c r="I5" s="8" t="inlineStr">
        <is>
          <t>▪ 核心資料來源與格式：
▪ 第一道防線（個資遮罩）：
▪ 第二道防線（Guardrails）：
▪ 第三道防線（審計日誌）：</t>
        </is>
      </c>
      <c r="J5" s="9" t="n"/>
      <c r="K5" s="9" t="n"/>
      <c r="L5" s="10" t="n"/>
    </row>
    <row r="6" ht="22.05" customHeight="1" s="12">
      <c r="A6" s="22" t="n"/>
      <c r="D6" s="23" t="n"/>
      <c r="E6" s="44" t="n"/>
      <c r="H6" s="45" t="n"/>
      <c r="I6" s="11" t="n"/>
      <c r="L6" s="13" t="n"/>
    </row>
    <row r="7" ht="22.05" customHeight="1" s="12">
      <c r="A7" s="22" t="n"/>
      <c r="D7" s="23" t="n"/>
      <c r="E7" s="44" t="n"/>
      <c r="H7" s="45" t="n"/>
      <c r="I7" s="11" t="n"/>
      <c r="L7" s="13" t="n"/>
    </row>
    <row r="8" ht="22.05" customHeight="1" s="12">
      <c r="A8" s="22" t="n"/>
      <c r="D8" s="23" t="n"/>
      <c r="E8" s="44" t="n"/>
      <c r="H8" s="45" t="n"/>
      <c r="I8" s="11" t="n"/>
      <c r="L8" s="13" t="n"/>
    </row>
    <row r="9" ht="22.05" customHeight="1" s="12">
      <c r="A9" s="22" t="n"/>
      <c r="D9" s="23" t="n"/>
      <c r="E9" s="44" t="n"/>
      <c r="H9" s="45" t="n"/>
      <c r="I9" s="11" t="n"/>
      <c r="L9" s="13" t="n"/>
    </row>
    <row r="10" ht="22.05" customHeight="1" s="12">
      <c r="A10" s="22" t="n"/>
      <c r="D10" s="23" t="n"/>
      <c r="E10" s="44" t="n"/>
      <c r="H10" s="45" t="n"/>
      <c r="I10" s="11" t="n"/>
      <c r="L10" s="13" t="n"/>
    </row>
    <row r="11" ht="22.05" customHeight="1" s="12">
      <c r="A11" s="24" t="n"/>
      <c r="B11" s="25" t="n"/>
      <c r="C11" s="25" t="n"/>
      <c r="D11" s="26" t="n"/>
      <c r="E11" s="46" t="n"/>
      <c r="F11" s="47" t="n"/>
      <c r="G11" s="47" t="n"/>
      <c r="H11" s="48" t="n"/>
      <c r="I11" s="14" t="n"/>
      <c r="J11" s="15" t="n"/>
      <c r="K11" s="15" t="n"/>
      <c r="L11" s="16" t="n"/>
    </row>
    <row r="12" ht="22.05" customHeight="1" s="12"/>
    <row r="13" ht="22.05" customHeight="1" s="12">
      <c r="A13" s="35" t="inlineStr">
        <is>
          <t>④ 試點計畫與擴展時程</t>
        </is>
      </c>
      <c r="E13" s="38" t="inlineStr">
        <is>
          <t>⑤ 變革管理與人機協作比例</t>
        </is>
      </c>
      <c r="I13" s="17" t="inlineStr">
        <is>
          <t>⑥ 治理、合規與持續維運</t>
        </is>
      </c>
    </row>
    <row r="14" ht="22.05" customHeight="1" s="12">
      <c r="A14" s="19" t="inlineStr">
        <is>
          <t>▪ 試點部門與人數：
▪ 試點週期：
▪ Quick-Win KPI（量化）：
▪ 擴展複製路徑：</t>
        </is>
      </c>
      <c r="B14" s="20" t="n"/>
      <c r="C14" s="20" t="n"/>
      <c r="D14" s="21" t="n"/>
      <c r="E14" s="8" t="inlineStr">
        <is>
          <t>▪ 一線員工核心阻力：
▪ 變革化解行動（3項）：
▪ 人機協作角色（HITL）：
▪ 技能培訓計畫：</t>
        </is>
      </c>
      <c r="F14" s="9" t="n"/>
      <c r="G14" s="9" t="n"/>
      <c r="H14" s="10" t="n"/>
      <c r="I14" s="27" t="inlineStr">
        <is>
          <t>▪ 人機決策分工（HITL）：
▪ 單月 API 預算閾值：
▪ LLMOps 維運責任人：
▪ ISO 42001 稽核計畫：</t>
        </is>
      </c>
      <c r="J14" s="28" t="n"/>
      <c r="K14" s="28" t="n"/>
      <c r="L14" s="29" t="n"/>
    </row>
    <row r="15" ht="22.05" customHeight="1" s="12">
      <c r="A15" s="22" t="n"/>
      <c r="D15" s="23" t="n"/>
      <c r="E15" s="11" t="n"/>
      <c r="H15" s="13" t="n"/>
      <c r="I15" s="30" t="n"/>
      <c r="L15" s="31" t="n"/>
    </row>
    <row r="16" ht="22.05" customHeight="1" s="12">
      <c r="A16" s="22" t="n"/>
      <c r="D16" s="23" t="n"/>
      <c r="E16" s="11" t="n"/>
      <c r="H16" s="13" t="n"/>
      <c r="I16" s="30" t="n"/>
      <c r="L16" s="31" t="n"/>
    </row>
    <row r="17" ht="22.05" customHeight="1" s="12">
      <c r="A17" s="22" t="n"/>
      <c r="D17" s="23" t="n"/>
      <c r="E17" s="11" t="n"/>
      <c r="H17" s="13" t="n"/>
      <c r="I17" s="30" t="n"/>
      <c r="L17" s="31" t="n"/>
    </row>
    <row r="18" ht="22.05" customHeight="1" s="12">
      <c r="A18" s="22" t="n"/>
      <c r="D18" s="23" t="n"/>
      <c r="E18" s="11" t="n"/>
      <c r="H18" s="13" t="n"/>
      <c r="I18" s="30" t="n"/>
      <c r="L18" s="31" t="n"/>
    </row>
    <row r="19" ht="22.05" customHeight="1" s="12">
      <c r="A19" s="22" t="n"/>
      <c r="D19" s="23" t="n"/>
      <c r="E19" s="11" t="n"/>
      <c r="H19" s="13" t="n"/>
      <c r="I19" s="30" t="n"/>
      <c r="L19" s="31" t="n"/>
    </row>
    <row r="20" ht="22.05" customHeight="1" s="12">
      <c r="A20" s="24" t="n"/>
      <c r="B20" s="25" t="n"/>
      <c r="C20" s="25" t="n"/>
      <c r="D20" s="26" t="n"/>
      <c r="E20" s="14" t="n"/>
      <c r="F20" s="15" t="n"/>
      <c r="G20" s="15" t="n"/>
      <c r="H20" s="16" t="n"/>
      <c r="I20" s="32" t="n"/>
      <c r="J20" s="33" t="n"/>
      <c r="K20" s="33" t="n"/>
      <c r="L20" s="34" t="n"/>
    </row>
    <row r="21" ht="22.05" customHeight="1" s="12"/>
    <row r="22" ht="31.95" customHeight="1" s="12">
      <c r="A22" s="40" t="inlineStr">
        <is>
          <t>🏆  終極戰略目標：建立企業獨一無二的「AI-Native 營運護城河」，從 POC 死亡谷突破，達成可量化、可持續擴展的 AI 落地 ROI</t>
        </is>
      </c>
    </row>
    <row r="23" ht="18" customHeight="1" s="12">
      <c r="A23" s="39" t="inlineStr">
        <is>
          <t>© 2026 鳳凰 AI | 陳文家顧問 | enterprise-ai-talent-framework | MIT License | 商業合作請聯繫：allmyway2007@gmail.com</t>
        </is>
      </c>
    </row>
  </sheetData>
  <mergeCells count="16">
    <mergeCell ref="I5:L11"/>
    <mergeCell ref="I13:L13"/>
    <mergeCell ref="A2:L2"/>
    <mergeCell ref="A5:D11"/>
    <mergeCell ref="E14:H20"/>
    <mergeCell ref="I14:L20"/>
    <mergeCell ref="A4:D4"/>
    <mergeCell ref="A1:L1"/>
    <mergeCell ref="A23:L23"/>
    <mergeCell ref="I4:L4"/>
    <mergeCell ref="E4:H4"/>
    <mergeCell ref="A14:D20"/>
    <mergeCell ref="A22:L22"/>
    <mergeCell ref="A13:D13"/>
    <mergeCell ref="E5:H11"/>
    <mergeCell ref="E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style="12" min="1" max="1"/>
    <col width="14" customWidth="1" style="12" min="2" max="2"/>
    <col width="18" customWidth="1" style="12" min="3" max="3"/>
    <col width="32" customWidth="1" style="12" min="4" max="4"/>
    <col width="14" customWidth="1" style="12" min="5" max="6"/>
    <col width="20" customWidth="1" style="12" min="7" max="7"/>
    <col width="18" customWidth="1" style="12" min="8" max="8"/>
  </cols>
  <sheetData>
    <row r="1" ht="31.95" customHeight="1" s="12">
      <c r="A1" s="51" t="inlineStr">
        <is>
          <t>📋 主表一：企業 AI 場景盤點畫布 (Scenario Discovery Canvas)</t>
        </is>
      </c>
    </row>
    <row r="2" ht="22.05" customHeight="1" s="12">
      <c r="A2" s="50" t="inlineStr">
        <is>
          <t xml:space="preserve">  ℹ️ 使用說明：從業務痛點出發，填寫每個 AI 應用場景。「ROI 評估指數」欄位會自動計算（勿修改）。完成後以「導入優先級」排序，選出前 3 名作為試點專案。</t>
        </is>
      </c>
    </row>
    <row r="3" ht="40.05" customHeight="1" s="12">
      <c r="A3" s="1" t="inlineStr">
        <is>
          <t>痛點業務流程
(具體描述，非技術名詞)</t>
        </is>
      </c>
      <c r="B3" s="1" t="inlineStr">
        <is>
          <t>主責部門</t>
        </is>
      </c>
      <c r="C3" s="1" t="inlineStr">
        <is>
          <t>核心 AI 任務
(分類/問答/摘要/預測/生成)</t>
        </is>
      </c>
      <c r="D3" s="1" t="inlineStr">
        <is>
          <t>預期商業價值
(請量化：如省 50% 工時)</t>
        </is>
      </c>
      <c r="E3" s="1" t="inlineStr">
        <is>
          <t>商業價值評分 V
(1=低 / 3=中 / 5=高)</t>
        </is>
      </c>
      <c r="F3" s="1" t="inlineStr">
        <is>
          <t>數據就緒度 D
(1=無數據 / 5=高度就緒)</t>
        </is>
      </c>
      <c r="G3" s="1" t="inlineStr">
        <is>
          <t>使用阻力 R
(L=低 / M=中 / H=高)</t>
        </is>
      </c>
      <c r="H3" s="1" t="inlineStr">
        <is>
          <t>🤖 ROI 評估指數
【自動計算，勿修改】</t>
        </is>
      </c>
    </row>
    <row r="4" ht="55.05" customHeight="1" s="12">
      <c r="A4" s="2" t="inlineStr">
        <is>
          <t>售後技術客服查手冊速度慢
→ 導入 RAG 企業知識庫</t>
        </is>
      </c>
      <c r="B4" s="2" t="inlineStr">
        <is>
          <t>售後服務部</t>
        </is>
      </c>
      <c r="C4" s="2" t="inlineStr">
        <is>
          <t>Q&amp;A (問答/RAG)</t>
        </is>
      </c>
      <c r="D4" s="2" t="inlineStr">
        <is>
          <t>查閱時間從 30 分降至 1 分鐘
→ 預估年省 600 工時</t>
        </is>
      </c>
      <c r="E4" s="2" t="inlineStr">
        <is>
          <t>5</t>
        </is>
      </c>
      <c r="F4" s="2" t="inlineStr">
        <is>
          <t>4</t>
        </is>
      </c>
      <c r="G4" s="2" t="inlineStr">
        <is>
          <t>L（客服渴望減輕負擔）</t>
        </is>
      </c>
      <c r="H4" s="3">
        <f>IF(G4="","",ROUND(VALUE(LEFT(E4,1))*0.5+VALUE(LEFT(F4,1))*0.3+IF(LEFT(G4,1)="H",1,IF(LEFT(G4,1)="M",3,5))*0.2,1))</f>
        <v/>
      </c>
    </row>
    <row r="5" ht="55.05" customHeight="1" s="12">
      <c r="A5" s="2" t="inlineStr">
        <is>
          <t>行銷文案撰寫耗時費力
→ 導入 AI 生成草稿</t>
        </is>
      </c>
      <c r="B5" s="2" t="inlineStr">
        <is>
          <t>行銷部</t>
        </is>
      </c>
      <c r="C5" s="2" t="inlineStr">
        <is>
          <t>Generation (生成)</t>
        </is>
      </c>
      <c r="D5" s="2" t="inlineStr">
        <is>
          <t>文案產出速度提升 5 倍
→ 預估年省 200 工時</t>
        </is>
      </c>
      <c r="E5" s="2" t="inlineStr">
        <is>
          <t>4</t>
        </is>
      </c>
      <c r="F5" s="2" t="inlineStr">
        <is>
          <t>3</t>
        </is>
      </c>
      <c r="G5" s="2" t="inlineStr">
        <is>
          <t>M（需要人員調整工作習慣）</t>
        </is>
      </c>
      <c r="H5" s="3">
        <f>IF(G5="","",ROUND(VALUE(LEFT(E5,1))*0.5+VALUE(LEFT(F5,1))*0.3+IF(LEFT(G5,1)="H",1,IF(LEFT(G5,1)="M",3,5))*0.2,1))</f>
        <v/>
      </c>
    </row>
    <row r="6" ht="55.05" customHeight="1" s="12">
      <c r="A6" s="4" t="n"/>
      <c r="B6" s="4" t="n"/>
      <c r="C6" s="4" t="n"/>
      <c r="D6" s="4" t="n"/>
      <c r="E6" s="4" t="n"/>
      <c r="F6" s="4" t="n"/>
      <c r="G6" s="4" t="n"/>
      <c r="H6" s="3">
        <f>IF(G6="","",ROUND(VALUE(LEFT(E6,1))*0.5+VALUE(LEFT(F6,1))*0.3+IF(LEFT(G6,1)="H",1,IF(LEFT(G6,1)="M",3,5))*0.2,1))</f>
        <v/>
      </c>
    </row>
    <row r="7" ht="55.05" customHeight="1" s="12">
      <c r="A7" s="4" t="n"/>
      <c r="B7" s="4" t="n"/>
      <c r="C7" s="4" t="n"/>
      <c r="D7" s="4" t="n"/>
      <c r="E7" s="4" t="n"/>
      <c r="F7" s="4" t="n"/>
      <c r="G7" s="4" t="n"/>
      <c r="H7" s="3">
        <f>IF(G7="","",ROUND(VALUE(LEFT(E7,1))*0.5+VALUE(LEFT(F7,1))*0.3+IF(LEFT(G7,1)="H",1,IF(LEFT(G7,1)="M",3,5))*0.2,1))</f>
        <v/>
      </c>
    </row>
    <row r="8" ht="55.05" customHeight="1" s="12">
      <c r="A8" s="4" t="n"/>
      <c r="B8" s="4" t="n"/>
      <c r="C8" s="4" t="n"/>
      <c r="D8" s="4" t="n"/>
      <c r="E8" s="4" t="n"/>
      <c r="F8" s="4" t="n"/>
      <c r="G8" s="4" t="n"/>
      <c r="H8" s="3">
        <f>IF(G8="","",ROUND(VALUE(LEFT(E8,1))*0.5+VALUE(LEFT(F8,1))*0.3+IF(LEFT(G8,1)="H",1,IF(LEFT(G8,1)="M",3,5))*0.2,1))</f>
        <v/>
      </c>
    </row>
    <row r="9" ht="55.05" customHeight="1" s="12">
      <c r="A9" s="4" t="n"/>
      <c r="B9" s="4" t="n"/>
      <c r="C9" s="4" t="n"/>
      <c r="D9" s="4" t="n"/>
      <c r="E9" s="4" t="n"/>
      <c r="F9" s="4" t="n"/>
      <c r="G9" s="4" t="n"/>
      <c r="H9" s="3">
        <f>IF(G9="","",ROUND(VALUE(LEFT(E9,1))*0.5+VALUE(LEFT(F9,1))*0.3+IF(LEFT(G9,1)="H",1,IF(LEFT(G9,1)="M",3,5))*0.2,1))</f>
        <v/>
      </c>
    </row>
    <row r="10" ht="55.05" customHeight="1" s="12">
      <c r="A10" s="4" t="n"/>
      <c r="B10" s="4" t="n"/>
      <c r="C10" s="4" t="n"/>
      <c r="D10" s="4" t="n"/>
      <c r="E10" s="4" t="n"/>
      <c r="F10" s="4" t="n"/>
      <c r="G10" s="4" t="n"/>
      <c r="H10" s="3">
        <f>IF(G10="","",ROUND(VALUE(LEFT(E10,1))*0.5+VALUE(LEFT(F10,1))*0.3+IF(LEFT(G10,1)="H",1,IF(LEFT(G10,1)="M",3,5))*0.2,1))</f>
        <v/>
      </c>
    </row>
    <row r="11" ht="22.05" customHeight="1" s="12">
      <c r="A11" s="49" t="inlineStr">
        <is>
          <t xml:space="preserve">  💡 V 值評分指引：1=省時效益微小 | 3=省時顯著且有輔助性收益 | 5=直接提升 ROI 或節省關鍵工時  |  D 值評分：1=無任何數據 | 3=數位化但未整理 | 5=已有結構化資料庫或 API  |  R 值：L=員工主動需要 / M=需調整習慣 / H=員工恐懼或流程極複雜</t>
        </is>
      </c>
    </row>
  </sheetData>
  <mergeCells count="3">
    <mergeCell ref="A11:H11"/>
    <mergeCell ref="A2:H2"/>
    <mergeCell ref="A1:H1"/>
  </mergeCells>
  <dataValidations count="1">
    <dataValidation sqref="B4 B5 B6 B7 B8 B9 B10" showDropDown="0" showInputMessage="0" showErrorMessage="0" allowBlank="0" type="list">
      <formula1>"客服部,製造部,行銷部,財務部,HR部,研發部,資訊部,行政部,業務部,供應鏈部"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A1" sqref="A1:E2"/>
    </sheetView>
  </sheetViews>
  <sheetFormatPr baseColWidth="8" defaultRowHeight="15"/>
  <cols>
    <col width="15" customWidth="1" style="12" min="1" max="1"/>
    <col width="28" customWidth="1" style="12" min="2" max="5"/>
  </cols>
  <sheetData>
    <row r="1" ht="25.05" customHeight="1" s="12">
      <c r="A1" s="55" t="inlineStr">
        <is>
          <t>📊 企業 AI 落地 2x2 ROI 決策優先級象限 (Decision Matrix Dashboard)</t>
        </is>
      </c>
    </row>
    <row r="2" ht="25.05" customHeight="1" s="12"/>
    <row r="3" ht="22.05" customHeight="1" s="12">
      <c r="A3" s="52" t="inlineStr">
        <is>
          <t xml:space="preserve"> ℹ️ 使用說明：本圖將「主表一-場景盤點」之篩選機制視覺化。縱軸代表商業價值 (V)，橫軸代表技術可行性 (D/R)。
 決策核心應聚焦於右上角「Quick Wins」象限，這能確保在 30 天內取得首波成功，快速建立團隊與董事會變革信心。</t>
        </is>
      </c>
    </row>
    <row r="4" ht="22.05" customHeight="1" s="12"/>
    <row r="5" ht="15" customHeight="1" s="12"/>
    <row r="6" ht="30" customHeight="1" s="12">
      <c r="A6" s="54" t="inlineStr">
        <is>
          <t>商
業
價
值
高
(V)
▲</t>
        </is>
      </c>
      <c r="B6" s="56" t="inlineStr">
        <is>
          <t>【 第二象限：Strategic Bets 】
🎯 策略型投資 (Score: 3.0 ~ 4.0)
• 特徵：高價值，但技術難度或風險偏高
• 決策：編列專款進行中長期研發與 POC 概念驗證
• 示例：半導體預測性維護、AI 醫療輔助診斷</t>
        </is>
      </c>
      <c r="C6" s="66" t="n"/>
      <c r="D6" s="57" t="inlineStr">
        <is>
          <t>【 第一象限：Quick Wins 】
🏆 優先試點 (Score &gt;= 4.0)
• 特徵：高價值、高可行性、低風險
• 決策：第一波衝刺試點，30天內快速上線見效
• 示例：客服 RAG 知識庫、會議紀錄自動摘要與翻譯</t>
        </is>
      </c>
      <c r="E6" s="66" t="n"/>
    </row>
    <row r="7" ht="30" customHeight="1" s="12">
      <c r="B7" s="67" t="n"/>
      <c r="C7" s="68" t="n"/>
      <c r="D7" s="67" t="n"/>
      <c r="E7" s="68" t="n"/>
    </row>
    <row r="8" ht="65.40000000000001" customHeight="1" s="12">
      <c r="B8" s="69" t="n"/>
      <c r="C8" s="70" t="n"/>
      <c r="D8" s="69" t="n"/>
      <c r="E8" s="70" t="n"/>
    </row>
    <row r="9" ht="25.05" customHeight="1" s="12">
      <c r="B9" s="58" t="inlineStr">
        <is>
          <t>◀️ 難度高 / 可行性低 (Low Feasibility)</t>
        </is>
      </c>
      <c r="D9" s="58" t="inlineStr">
        <is>
          <t>難度低 / 可行性高 (High Feasibility) ▶️</t>
        </is>
      </c>
    </row>
    <row r="10" ht="30" customHeight="1" s="12">
      <c r="A10" s="54" t="inlineStr">
        <is>
          <t>▼
低
(V)
商
業
價
值</t>
        </is>
      </c>
      <c r="B10" s="59" t="inlineStr">
        <is>
          <t>【 第四象限：Decline / Kill 】
⚠️ 直接剔除 (Score &lt; 2.0)
• 特徵：低價值、高難度、高風險
• 決策：立即予以剔除或無限期擱置，避免預算黑洞
• 示例：核心財務預算全自動生成、高階人事自動錄取</t>
        </is>
      </c>
      <c r="C10" s="66" t="n"/>
      <c r="D10" s="53" t="inlineStr">
        <is>
          <t>【 第三象限：Fill-ins 】
💡 次要輔助 (Score: 2.0 ~ 3.0)
• 特徵：低價值，但可行性極高
• 決策：員工自學或開發，不佔用核心專案預算
• 示例：自動化郵件草稿撰寫、週報自動生成</t>
        </is>
      </c>
      <c r="E10" s="66" t="n"/>
    </row>
    <row r="11" ht="30" customHeight="1" s="12">
      <c r="B11" s="67" t="n"/>
      <c r="C11" s="68" t="n"/>
      <c r="D11" s="67" t="n"/>
      <c r="E11" s="68" t="n"/>
    </row>
    <row r="12" ht="73.8" customHeight="1" s="12">
      <c r="B12" s="69" t="n"/>
      <c r="C12" s="70" t="n"/>
      <c r="D12" s="69" t="n"/>
      <c r="E12" s="70" t="n"/>
    </row>
  </sheetData>
  <mergeCells count="10">
    <mergeCell ref="A3:E4"/>
    <mergeCell ref="D10:E12"/>
    <mergeCell ref="A10:A12"/>
    <mergeCell ref="A1:E2"/>
    <mergeCell ref="B6:C8"/>
    <mergeCell ref="D6:E8"/>
    <mergeCell ref="B9:C9"/>
    <mergeCell ref="D9:E9"/>
    <mergeCell ref="A6:A8"/>
    <mergeCell ref="B10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12" min="1" max="1"/>
    <col width="28" customWidth="1" style="12" min="2" max="2"/>
    <col width="22" customWidth="1" style="12" min="3" max="3"/>
    <col width="25" customWidth="1" style="12" min="4" max="5"/>
    <col width="28" customWidth="1" style="12" min="6" max="6"/>
    <col width="25" customWidth="1" style="12" min="7" max="7"/>
  </cols>
  <sheetData>
    <row r="1" ht="31.95" customHeight="1" s="12">
      <c r="A1" s="61" t="inlineStr">
        <is>
          <t>📋 主表二：資料基礎與方案架構畫布 (Data &amp; Architecture Canvas)</t>
        </is>
      </c>
    </row>
    <row r="2" ht="22.05" customHeight="1" s="12">
      <c r="A2" s="60" t="inlineStr">
        <is>
          <t xml:space="preserve">  ℹ️ 使用說明：針對主表一篩選出的優先場景，逐一規劃技術路徑與三道安全防線。每個場景填一列。</t>
        </is>
      </c>
    </row>
    <row r="3" ht="40.05" customHeight="1" s="12">
      <c r="A3" s="5" t="inlineStr">
        <is>
          <t>場景名稱
(複製自主表一)</t>
        </is>
      </c>
      <c r="B3" s="5" t="inlineStr">
        <is>
          <t>技術路徑
(SaaS買/API客製/私有化)</t>
        </is>
      </c>
      <c r="C3" s="5" t="inlineStr">
        <is>
          <t>核心模型配置</t>
        </is>
      </c>
      <c r="D3" s="5" t="inlineStr">
        <is>
          <t>🛡️ 第一道防線
個資遮罩 / DLP</t>
        </is>
      </c>
      <c r="E3" s="5" t="inlineStr">
        <is>
          <t>🛡️ 第二道防線
Guardrails / 防注入</t>
        </is>
      </c>
      <c r="F3" s="5" t="inlineStr">
        <is>
          <t>🛡️ 第三道防線
審計日誌維度</t>
        </is>
      </c>
      <c r="G3" s="5" t="inlineStr">
        <is>
          <t>資料來源與格式</t>
        </is>
      </c>
    </row>
    <row r="4" ht="55.05" customHeight="1" s="12">
      <c r="A4" s="2" t="inlineStr">
        <is>
          <t>售後技術客服 RAG 系統</t>
        </is>
      </c>
      <c r="B4" s="2" t="inlineStr">
        <is>
          <t>Build - API 客製
(串接 Gemini API + Chroma 向量庫)</t>
        </is>
      </c>
      <c r="C4" s="2" t="inlineStr">
        <is>
          <t>Gemini 1.5 Flash
+ 自建 Embedding</t>
        </is>
      </c>
      <c r="D4" s="2" t="inlineStr">
        <is>
          <t>遮蔽 PDF 手冊中的
客戶姓名與電話</t>
        </is>
      </c>
      <c r="E4" s="2" t="inlineStr">
        <is>
          <t>System Instruction 設定
拒絕回答非技術問題</t>
        </is>
      </c>
      <c r="F4" s="2" t="inlineStr">
        <is>
          <t>記錄：使用者ID / 提問時間
/ Token數 / 完整對話</t>
        </is>
      </c>
      <c r="G4" s="2" t="inlineStr">
        <is>
          <t>20本技術PDF手冊
+ SOP 文件資料夾</t>
        </is>
      </c>
    </row>
    <row r="5" ht="55.05" customHeight="1" s="12">
      <c r="A5" s="4" t="n"/>
      <c r="B5" s="4" t="n"/>
      <c r="C5" s="4" t="n"/>
      <c r="D5" s="4" t="n"/>
      <c r="E5" s="4" t="n"/>
      <c r="F5" s="4" t="n"/>
      <c r="G5" s="4" t="n"/>
    </row>
    <row r="6" ht="55.05" customHeight="1" s="12">
      <c r="A6" s="4" t="n"/>
      <c r="B6" s="4" t="n"/>
      <c r="C6" s="4" t="n"/>
      <c r="D6" s="4" t="n"/>
      <c r="E6" s="4" t="n"/>
      <c r="F6" s="4" t="n"/>
      <c r="G6" s="4" t="n"/>
    </row>
    <row r="7" ht="55.05" customHeight="1" s="12">
      <c r="A7" s="4" t="n"/>
      <c r="B7" s="4" t="n"/>
      <c r="C7" s="4" t="n"/>
      <c r="D7" s="4" t="n"/>
      <c r="E7" s="4" t="n"/>
      <c r="F7" s="4" t="n"/>
      <c r="G7" s="4" t="n"/>
    </row>
    <row r="8" ht="55.05" customHeight="1" s="12">
      <c r="A8" s="4" t="n"/>
      <c r="B8" s="4" t="n"/>
      <c r="C8" s="4" t="n"/>
      <c r="D8" s="4" t="n"/>
      <c r="E8" s="4" t="n"/>
      <c r="F8" s="4" t="n"/>
      <c r="G8" s="4" t="n"/>
    </row>
  </sheetData>
  <mergeCells count="2">
    <mergeCell ref="A2:G2"/>
    <mergeCell ref="A1:G1"/>
  </mergeCells>
  <dataValidations count="1">
    <dataValidation sqref="B4 B5 B6 B7 B8" showDropDown="0" showInputMessage="0" showErrorMessage="0" allowBlank="0" type="list">
      <formula1>"SaaS採購 (Buy),API客製 (Build),私有化部署 (Build),混合架構"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style="12" min="1" max="1"/>
    <col width="28" customWidth="1" style="12" min="2" max="2"/>
    <col width="18" customWidth="1" style="12" min="3" max="3"/>
    <col width="30" customWidth="1" style="12" min="4" max="5"/>
    <col width="35" customWidth="1" style="12" min="6" max="6"/>
    <col width="18" customWidth="1" style="12" min="7" max="7"/>
  </cols>
  <sheetData>
    <row r="1" ht="31.95" customHeight="1" s="12">
      <c r="A1" s="63" t="inlineStr">
        <is>
          <t>📋 主表三：試點驗證與阻力評估畫布 (Pilot &amp; Change Canvas)</t>
        </is>
      </c>
    </row>
    <row r="2" ht="22.05" customHeight="1" s="12">
      <c r="A2" s="62" t="inlineStr">
        <is>
          <t xml:space="preserve">  ℹ️ 使用說明：針對選定的試點專案，設計 Quick-Win 計畫。重點是誠實評估一線阻力，並預先設計化解方案，這是決定 AI 落地成敗的關鍵！</t>
        </is>
      </c>
    </row>
    <row r="3" ht="40.05" customHeight="1" s="12">
      <c r="A3" s="6" t="inlineStr">
        <is>
          <t>試點場景名稱</t>
        </is>
      </c>
      <c r="B3" s="6" t="inlineStr">
        <is>
          <t>試點部門與人數
(如：高雄二廠售後組 10人)</t>
        </is>
      </c>
      <c r="C3" s="6" t="inlineStr">
        <is>
          <t>試點週期</t>
        </is>
      </c>
      <c r="D3" s="6" t="inlineStr">
        <is>
          <t>Quick-Win 量化 KPI
(必須可數字衡量)</t>
        </is>
      </c>
      <c r="E3" s="6" t="inlineStr">
        <is>
          <t>一線員工主要阻力
(請誠實填寫)</t>
        </is>
      </c>
      <c r="F3" s="6" t="inlineStr">
        <is>
          <t>變革管理化解方案
(具體行動，非口號)</t>
        </is>
      </c>
      <c r="G3" s="6" t="inlineStr">
        <is>
          <t>跨部門複製可行性
(1~5分)</t>
        </is>
      </c>
    </row>
    <row r="4" ht="55.05" customHeight="1" s="12">
      <c r="A4" s="2" t="inlineStr">
        <is>
          <t>售後技術客服 RAG 系統</t>
        </is>
      </c>
      <c r="B4" s="2" t="inlineStr">
        <is>
          <t>高雄二廠售後服務組
（10名客服人員）</t>
        </is>
      </c>
      <c r="C4" s="2" t="inlineStr">
        <is>
          <t>30天深度驗證</t>
        </is>
      </c>
      <c r="D4" s="2" t="inlineStr">
        <is>
          <t>客戶問題即時解決率
從 60% 提升至 90%</t>
        </is>
      </c>
      <c r="E4" s="2" t="inlineStr">
        <is>
          <t>年長客服不習慣打字查詢
擔心系統取代人力</t>
        </is>
      </c>
      <c r="F4" s="2" t="inlineStr">
        <is>
          <t>1. 加入語音輸入介面
2. 舉辦效率競賽提供獎金
3. 管理層正式承諾不因AI裁員</t>
        </is>
      </c>
      <c r="G4" s="2" t="inlineStr">
        <is>
          <t>5分（可直接複製到
台北與海外客服中心）</t>
        </is>
      </c>
    </row>
    <row r="5" ht="55.05" customHeight="1" s="12">
      <c r="A5" s="4" t="n"/>
      <c r="B5" s="4" t="n"/>
      <c r="C5" s="4" t="n"/>
      <c r="D5" s="4" t="n"/>
      <c r="E5" s="4" t="n"/>
      <c r="F5" s="4" t="n"/>
      <c r="G5" s="4" t="n"/>
    </row>
    <row r="6" ht="55.05" customHeight="1" s="12">
      <c r="A6" s="4" t="n"/>
      <c r="B6" s="4" t="n"/>
      <c r="C6" s="4" t="n"/>
      <c r="D6" s="4" t="n"/>
      <c r="E6" s="4" t="n"/>
      <c r="F6" s="4" t="n"/>
      <c r="G6" s="4" t="n"/>
    </row>
    <row r="7" ht="55.05" customHeight="1" s="12">
      <c r="A7" s="4" t="n"/>
      <c r="B7" s="4" t="n"/>
      <c r="C7" s="4" t="n"/>
      <c r="D7" s="4" t="n"/>
      <c r="E7" s="4" t="n"/>
      <c r="F7" s="4" t="n"/>
      <c r="G7" s="4" t="n"/>
    </row>
    <row r="8" ht="55.05" customHeight="1" s="12">
      <c r="A8" s="4" t="n"/>
      <c r="B8" s="4" t="n"/>
      <c r="C8" s="4" t="n"/>
      <c r="D8" s="4" t="n"/>
      <c r="E8" s="4" t="n"/>
      <c r="F8" s="4" t="n"/>
      <c r="G8" s="4" t="n"/>
    </row>
  </sheetData>
  <mergeCells count="2">
    <mergeCell ref="A2:G2"/>
    <mergeCell ref="A1:G1"/>
  </mergeCells>
  <dataValidations count="1">
    <dataValidation sqref="C4 C5 C6 C7 C8" showDropDown="0" showInputMessage="0" showErrorMessage="0" allowBlank="0" type="list">
      <formula1>"14天快速迭代,30天深度驗證,60天全面觀察,90天完整評估"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4" customWidth="1" style="12" min="1" max="1"/>
    <col width="24" customWidth="1" style="12" min="2" max="2"/>
    <col width="45" customWidth="1" style="12" min="3" max="3"/>
    <col width="16" customWidth="1" style="12" min="4" max="4"/>
    <col width="50" customWidth="1" style="12" min="5" max="5"/>
    <col width="30" customWidth="1" style="12" min="6" max="6"/>
  </cols>
  <sheetData>
    <row r="1" ht="40" customHeight="1" s="12">
      <c r="A1" s="71" t="inlineStr">
        <is>
          <t>📋 附表：企業 RAG 採購與數據成熟度 5 維自評表 (RAG Procurement &amp; Data Readiness Diagnostics)</t>
        </is>
      </c>
    </row>
    <row r="2" ht="35" customHeight="1" s="12">
      <c r="A2" s="73" t="inlineStr">
        <is>
          <t xml:space="preserve">  ℹ️ 使用說明：本表為 RAG 企業級知識庫採購前的自我成熟度評估表。請針對以下 5 個維度進行自評打分 (每項 1~5 分)，總分將會自動加總，並出具對應的顧問落地路徑診斷與避坑指南。</t>
        </is>
      </c>
    </row>
    <row r="3" ht="25" customHeight="1" s="12">
      <c r="A3" s="75" t="inlineStr">
        <is>
          <t>評估維度</t>
        </is>
      </c>
      <c r="B3" s="75" t="inlineStr">
        <is>
          <t>自評項目</t>
        </is>
      </c>
      <c r="C3" s="75" t="inlineStr">
        <is>
          <t>指標說明</t>
        </is>
      </c>
      <c r="D3" s="75" t="inlineStr">
        <is>
          <t>自評分數 (1-5)</t>
        </is>
      </c>
      <c r="E3" s="75" t="inlineStr">
        <is>
          <t>成熟度評估指引</t>
        </is>
      </c>
      <c r="F3" s="75" t="inlineStr">
        <is>
          <t>備註 / 企業現況</t>
        </is>
      </c>
    </row>
    <row r="4" ht="60" customHeight="1" s="12">
      <c r="A4" s="76" t="inlineStr">
        <is>
          <t>維度一：檔案格式就緒度</t>
        </is>
      </c>
      <c r="B4" s="76" t="inlineStr">
        <is>
          <t>檔案格式就緒度
(純文字、表格、掃描件%)</t>
        </is>
      </c>
      <c r="C4" s="77" t="inlineStr">
        <is>
          <t>評估企業內部資料庫、手冊與SOP文件的數位化就緒程度，防範資料讀不出而造成 RAG 系統失效。</t>
        </is>
      </c>
      <c r="D4" s="78" t="n">
        <v>5</v>
      </c>
      <c r="E4" s="77" t="inlineStr">
        <is>
          <t>1 分：多為紙本掃描件或PDF圖片檔，缺乏OCR
3 分：多為數位PDF，但含有複雜跨頁表格與排版雜訊
5 分：全為結構化文字檔 (Markdown/TXT)，段落排版清晰</t>
        </is>
      </c>
      <c r="F4" s="77" t="inlineStr"/>
    </row>
    <row r="5" ht="60" customHeight="1" s="12">
      <c r="A5" s="76" t="inlineStr">
        <is>
          <t>維度二：機密權限等級</t>
        </is>
      </c>
      <c r="B5" s="76" t="inlineStr">
        <is>
          <t>機密權限等級
(公開/機密分流與AD/ACL)</t>
        </is>
      </c>
      <c r="C5" s="77" t="inlineStr">
        <is>
          <t>評估企業文件的安全層級分流，以及現有系統 (Active Directory/ACL) 是否具備串接權限管理能力。</t>
        </is>
      </c>
      <c r="D5" s="78" t="n">
        <v>5</v>
      </c>
      <c r="E5" s="77" t="inlineStr">
        <is>
          <t>1 分：全為高度機密，且缺乏明確帳號角色權限控管
3 分：已有部門分類，但無法與企業 AD/LDAP 權限連動
5 分：公開/機密文件分流明確，且具備 API/AD 帳號對接</t>
        </is>
      </c>
      <c r="F5" s="77" t="inlineStr"/>
    </row>
    <row r="6" ht="60" customHeight="1" s="12">
      <c r="A6" s="76" t="inlineStr">
        <is>
          <t>維度三：IT 本地維運能力</t>
        </is>
      </c>
      <c r="B6" s="76" t="inlineStr">
        <is>
          <t>IT 本地維運能力
(Vector DB &amp; MLOps)</t>
        </is>
      </c>
      <c r="C6" s="77" t="inlineStr">
        <is>
          <t>評估企業內部 IT 團隊的技術能力，判斷適合「API 買」還是「地端 Build」。</t>
        </is>
      </c>
      <c r="D6" s="78" t="n">
        <v>5</v>
      </c>
      <c r="E6" s="77" t="inlineStr">
        <is>
          <t>1 分：僅有基礎系統維護人員，無 AI 或資料庫調優人員
3 分：具備傳統 SQL 運維實力，但無 Vector DB 及 LLM 經驗
5 分：有專業研發或 LLMOps 部門，可自主開發與微調模型</t>
        </is>
      </c>
      <c r="F6" s="77" t="inlineStr"/>
    </row>
    <row r="7" ht="60" customHeight="1" s="12">
      <c r="A7" s="76" t="inlineStr">
        <is>
          <t>維度四：算力財務預算限制</t>
        </is>
      </c>
      <c r="B7" s="76" t="inlineStr">
        <is>
          <t>算力財務預算限制
(SaaS訂閱 vs 地端GPU採購)</t>
        </is>
      </c>
      <c r="C7" s="77" t="inlineStr">
        <is>
          <t>評估可提撥的財務預算上限，決定算力架構與採購模式。</t>
        </is>
      </c>
      <c r="D7" s="78" t="n">
        <v>5</v>
      </c>
      <c r="E7" s="77" t="inlineStr">
        <is>
          <t>1 分：預算極低，難以負擔 Token 呼叫或高額軟體合約費
3 分：可負擔 SaaS 訂閱或 API 月費，但無法採購地端伺服器
5 分：財務彈性大，可單獨編列預算採購 A100/H100 地端伺服器</t>
        </is>
      </c>
      <c r="F7" s="77" t="inlineStr"/>
    </row>
    <row r="8" ht="60" customHeight="1" s="12">
      <c r="A8" s="76" t="inlineStr">
        <is>
          <t>維度五：業務場景容錯率</t>
        </is>
      </c>
      <c r="B8" s="76" t="inlineStr">
        <is>
          <t>業務場景容錯率
(幻覺容忍度與CRAG修正)</t>
        </is>
      </c>
      <c r="C8" s="77" t="inlineStr">
        <is>
          <t>評估 AI 回答出錯時，企業與業務流程的容忍極限，決定是否需要高強度的防幻覺安全防線。</t>
        </is>
      </c>
      <c r="D8" s="78" t="n">
        <v>5</v>
      </c>
      <c r="E8" s="77" t="inlineStr">
        <is>
          <t>1 分：零容忍，一旦幻覺將造成重大財務/法律責任 (如出帳、診斷)
3 分：中度容忍，主要為內部輔助，回答必須標註引用出處頁碼
5 分：高度容忍，用於腦力激盪、創意或行銷文案起草</t>
        </is>
      </c>
      <c r="F8" s="77" t="inlineStr"/>
    </row>
    <row r="9" ht="45" customHeight="1" s="12">
      <c r="A9" s="78" t="inlineStr">
        <is>
          <t>📈 成熟度診斷結果：</t>
        </is>
      </c>
      <c r="B9" s="83" t="n"/>
      <c r="C9" s="80" t="inlineStr">
        <is>
          <t>🤖 總分自評加總：</t>
        </is>
      </c>
      <c r="D9" s="81">
        <f>SUM(D4:D8)</f>
        <v/>
      </c>
      <c r="E9" s="82">
        <f>IF(D9&lt;=12,"🔴 警訊：基礎建設薄弱。建議首要做數據清洗，暫緩軟體採購，防範高額黑洞。",IF(D9&lt;=19,"🟡 建議：採用 SaaS/API 混合架構，並配置嚴格的「真人雙簽 (HITL)」防線。","🟢 優勢：就緒度高。可自建或深度客製化 RAG 系統，直接開展試點。"))</f>
        <v/>
      </c>
      <c r="F9" s="83" t="n"/>
    </row>
  </sheetData>
  <mergeCells count="4">
    <mergeCell ref="A9:B9"/>
    <mergeCell ref="A2:F2"/>
    <mergeCell ref="E9:F9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4" customWidth="1" style="12" min="1" max="1"/>
    <col width="24" customWidth="1" style="12" min="2" max="2"/>
    <col width="45" customWidth="1" style="12" min="3" max="3"/>
    <col width="16" customWidth="1" style="12" min="4" max="4"/>
    <col width="50" customWidth="1" style="12" min="5" max="5"/>
    <col width="30" customWidth="1" style="12" min="6" max="6"/>
  </cols>
  <sheetData>
    <row r="1" ht="40" customHeight="1" s="12">
      <c r="A1" s="71" t="inlineStr">
        <is>
          <t>📋 附表：商用行銷影片 6 大工具選型與財務自診表 (AI Video Tools Selection &amp; Financial Diagnostics)</t>
        </is>
      </c>
    </row>
    <row r="2" ht="35" customHeight="1" s="12">
      <c r="A2" s="73" t="inlineStr">
        <is>
          <t xml:space="preserve">  ℹ️ 使用說明：本表供企業在採購或導入 AI 行銷影片生成工具 (如 Sora, Kling, Runway, HeyGen) 前進行評估。請針對以下 6 個維度進行自評打分 (每項 1~5 分)，以診斷工具的商用合規度、Token 財務 TCO 成本與特徵一致性就緒度。</t>
        </is>
      </c>
    </row>
    <row r="3" ht="25" customHeight="1" s="12">
      <c r="A3" s="75" t="inlineStr">
        <is>
          <t>評估維度</t>
        </is>
      </c>
      <c r="B3" s="75" t="inlineStr">
        <is>
          <t>自評項目</t>
        </is>
      </c>
      <c r="C3" s="75" t="inlineStr">
        <is>
          <t>指標說明</t>
        </is>
      </c>
      <c r="D3" s="75" t="inlineStr">
        <is>
          <t>自評分數 (1-5)</t>
        </is>
      </c>
      <c r="E3" s="75" t="inlineStr">
        <is>
          <t>選型評估與財務指引</t>
        </is>
      </c>
      <c r="F3" s="75" t="inlineStr">
        <is>
          <t>備註 / 企業現況</t>
        </is>
      </c>
    </row>
    <row r="4" ht="60" customHeight="1" s="12">
      <c r="A4" s="76" t="inlineStr">
        <is>
          <t>維度一：肖像權合規風險</t>
        </is>
      </c>
      <c r="B4" s="76" t="inlineStr">
        <is>
          <t>肖像權合規風險
(商用免責承諾)</t>
        </is>
      </c>
      <c r="C4" s="77" t="inlineStr">
        <is>
          <t>評估工具生成的虛擬人物或聲音是否會侵犯第三方肖像權或著作權，以及平台是否提供 B2B 客戶商用版權免責保護。</t>
        </is>
      </c>
      <c r="D4" s="78" t="n">
        <v>5</v>
      </c>
      <c r="E4" s="77" t="inlineStr">
        <is>
          <t>1 分：開源或免費版，無任何授權保證，面臨高度侵權與客訴風險
3 分：有付費套餐，但合約中無明確的智慧財產權商用免責保護條款
5 分：企業級 SaaS，正式合約條款中明文承諾「商用安全免責保障」</t>
        </is>
      </c>
      <c r="F4" s="77" t="inlineStr"/>
    </row>
    <row r="5" ht="60" customHeight="1" s="12">
      <c r="A5" s="76" t="inlineStr">
        <is>
          <t>維度二：TCO 算力財務控制</t>
        </is>
      </c>
      <c r="B5" s="76" t="inlineStr">
        <is>
          <t>Token 算力財務 TCO 控制
(點數消耗與費用限制)</t>
        </is>
      </c>
      <c r="C5" s="77" t="inlineStr">
        <is>
          <t>影片生成算力消耗巨大，需要精算單次生成成本 (點數消耗率) 及企業整體的預算控制與防超付機制。</t>
        </is>
      </c>
      <c r="D5" s="78" t="n">
        <v>5</v>
      </c>
      <c r="E5" s="77" t="inlineStr">
        <is>
          <t>1 分：單次生成成本極高，疊代修改費用昂貴，且缺乏預算限制功能
3 分：提供基本套餐點數，但多版本修改容易超出額度，費用較高
5 分：具備算力優化技術，單次消耗點數低，且具備部門限額管理</t>
        </is>
      </c>
      <c r="F5" s="77" t="inlineStr"/>
    </row>
    <row r="6" ht="60" customHeight="1" s="12">
      <c r="A6" s="76" t="inlineStr">
        <is>
          <t>維度三：品牌聲調對齊度</t>
        </is>
      </c>
      <c r="B6" s="76" t="inlineStr">
        <is>
          <t>品牌聲調 DPO 對齊度
(自建 Prompt 路由)</t>
        </is>
      </c>
      <c r="C6" s="77" t="inlineStr">
        <is>
          <t>影片整體風格、旁白配音與品牌調性的對齊程度。是否能接回內部 Prompt 路由器進行統一控管。</t>
        </is>
      </c>
      <c r="D6" s="78" t="n">
        <v>5</v>
      </c>
      <c r="E6" s="77" t="inlineStr">
        <is>
          <t>1 分：僅能套用固定模板，配音生硬且無法對齊品牌形象調性
3 分：支援自定義 Prompt 輸入，但風格無法精細對齊，仍需手動微調
5 分：支援企業語音克隆與專屬 DPO 對齊，可無縫串接 Router Prompt</t>
        </is>
      </c>
      <c r="F6" s="77" t="inlineStr"/>
    </row>
    <row r="7" ht="60" customHeight="1" s="12">
      <c r="A7" s="76" t="inlineStr">
        <is>
          <t>維度四：物理特徵一致性</t>
        </is>
      </c>
      <c r="B7" s="76" t="inlineStr">
        <is>
          <t>物理特徵一致性
(LOGO與產品渲染精準度)</t>
        </is>
      </c>
      <c r="C7" s="77" t="inlineStr">
        <is>
          <t>評估影片中「產品細節、企業 LOGO、主角面部」在不同鏡頭切換間的一致性，防止影片產生扭曲變形等穿幫畫面。</t>
        </is>
      </c>
      <c r="D7" s="78" t="n">
        <v>5</v>
      </c>
      <c r="E7" s="77" t="inlineStr">
        <is>
          <t>1 分：每秒畫面穿幫嚴重，LOGO 或產品細節在每幀快速變形扭曲
3 分：主體畫面一致，但在大角度或快速運鏡時細節仍會失真穿幫
5 分：支援 Reference Frame 或 3D 模型導入，特徵一致性達 98%</t>
        </is>
      </c>
      <c r="F7" s="77" t="inlineStr"/>
    </row>
    <row r="8" ht="60" customHeight="1" s="12">
      <c r="A8" s="76" t="inlineStr">
        <is>
          <t>維度五：口型與語音克隆</t>
        </is>
      </c>
      <c r="B8" s="76" t="inlineStr">
        <is>
          <t>多國口型與語音克隆對齊
(外銷口型同步)</t>
        </is>
      </c>
      <c r="C8" s="77" t="inlineStr">
        <is>
          <t>針對外銷多語系影片，評估 AI 生成的翻譯語音與畫面中人物口型的對齊精準度，避免不自然的視覺違和感。</t>
        </is>
      </c>
      <c r="D8" s="78" t="n">
        <v>5</v>
      </c>
      <c r="E8" s="77" t="inlineStr">
        <is>
          <t>1 分：配音腔調極不自然且口型完全對不上，視覺違和感重
3 分：支援多國配音，但口型同步率中等，有輕微滯後感
5 分：具備高精度語音克隆 (Voice Cloning) 與 AI 口型對齊 (Lip-sync)</t>
        </is>
      </c>
      <c r="F8" s="77" t="inlineStr"/>
    </row>
    <row r="9" ht="60" customHeight="1" s="12">
      <c r="A9" s="76" t="inlineStr">
        <is>
          <t>維度六：本地剪輯工具對接</t>
        </is>
      </c>
      <c r="B9" s="76" t="inlineStr">
        <is>
          <t>非侵入式本地剪輯對接
(剪輯工作流與著作權)</t>
        </is>
      </c>
      <c r="C9" s="77" t="inlineStr">
        <is>
          <t>評估 AI 生成素材是否能與現有剪輯軟體 (Premiere/CapCut) 無縫整合，以及生成素材的版權歸屬保障。</t>
        </is>
      </c>
      <c r="D9" s="78" t="n">
        <v>5</v>
      </c>
      <c r="E9" s="77" t="inlineStr">
        <is>
          <t>1 分：全網頁操作，無法與本地剪輯工作流連動，生成版權不明確
3 分：可導出標準 MP4，但缺乏 API 支援，需手動下載與導入剪輯
5 分：提供完整的 API 接口，支援本地自動化剪輯，素材產權歸屬企業</t>
        </is>
      </c>
      <c r="F9" s="77" t="inlineStr"/>
    </row>
    <row r="10" ht="45" customHeight="1" s="12">
      <c r="A10" s="78" t="inlineStr">
        <is>
          <t>📈 選型財務診斷結果：</t>
        </is>
      </c>
      <c r="B10" s="83" t="n"/>
      <c r="C10" s="80" t="inlineStr">
        <is>
          <t>🤖 總分自評加總：</t>
        </is>
      </c>
      <c r="D10" s="81">
        <f>SUM(D4:D9)</f>
        <v/>
      </c>
      <c r="E10" s="82">
        <f>IF(D10&lt;=15,"🔴 警訊：預算或技術一致性不足。不建議盲目採購高階 SaaS 專案，應先以小範圍免費工具驗證。",IF(D10&lt;=23,"🟡 建議：採用 2/8 原則。使用 SaaS 進行草稿生成，並由一線剪輯師進行人機協作 (HITL) 覆核修剪。","🟢 優勢：就緒度高。可大規模採購 API 或企業級 SaaS，建立全自動行銷影片製作流水線。"))</f>
        <v/>
      </c>
      <c r="F10" s="83" t="n"/>
    </row>
  </sheetData>
  <mergeCells count="4">
    <mergeCell ref="A2:F2"/>
    <mergeCell ref="E10:F10"/>
    <mergeCell ref="A1:F1"/>
    <mergeCell ref="A10:B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style="12" min="1" max="1"/>
    <col width="50" customWidth="1" style="12" min="2" max="2"/>
    <col width="50" customWidth="1" style="12" min="3" max="3"/>
    <col width="25" customWidth="1" style="12" min="4" max="4"/>
  </cols>
  <sheetData>
    <row r="1" ht="30" customHeight="1" s="12">
      <c r="A1" s="84" t="inlineStr">
        <is>
          <t>員工 AI 肖像永久商用授權同意書 (對照自診與修改草案)</t>
        </is>
      </c>
    </row>
    <row r="2">
      <c r="A2" s="85" t="inlineStr">
        <is>
          <t>評估貴公司目前的合約是否有涵蓋這三個保命條款，避免產生肖像侵權爭議。</t>
        </is>
      </c>
    </row>
    <row r="3" ht="25" customHeight="1" s="12">
      <c r="A3" s="86" t="inlineStr">
        <is>
          <t>條款類型</t>
        </is>
      </c>
      <c r="B3" s="86" t="inlineStr">
        <is>
          <t>NG 合約寫法 (潛在風險)</t>
        </is>
      </c>
      <c r="C3" s="86" t="inlineStr">
        <is>
          <t>鳳凰 AI 黃金合約條款 (保命金句)</t>
        </is>
      </c>
      <c r="D3" s="86" t="inlineStr">
        <is>
          <t>貴公司現有合約是否具備？</t>
        </is>
      </c>
    </row>
    <row r="4" ht="100" customHeight="1" s="12">
      <c r="A4" s="87" t="inlineStr">
        <is>
          <t>一、授權範圍與「AI 重製/生成權」雙重分離</t>
        </is>
      </c>
      <c r="B4" s="88" t="inlineStr">
        <is>
          <t>「甲方同意無償授權乙方拍攝之照片及影片做為宣傳使用。」
(風險：同意拍實體片，不代表同意被AI煉丹複製。若無註明AI數位孿生、生成式重製，未來AI生成的影片屬侵權。)</t>
        </is>
      </c>
      <c r="C4" s="88" t="inlineStr">
        <is>
          <t>「授權人同意將包含其肖像之影音資料，授權被授權人進行包含但不限於『AI 模型訓練』、『特徵萃取』、『數位分身(Digital Twin)合成』、『語音克隆』等生成式 AI 重製行為，並同意被授權人享有由上述 AI 技術生成之衍生影音作品之完整著作財產權。」</t>
        </is>
      </c>
      <c r="D4" s="87" t="inlineStr"/>
    </row>
    <row r="5" ht="100" customHeight="1" s="12">
      <c r="A5" s="87" t="inlineStr">
        <is>
          <t>二、明定「合理對價之買斷性質」</t>
        </is>
      </c>
      <c r="B5" s="88" t="inlineStr">
        <is>
          <t>「基於雙方僱傭關係，員工同意無償授權公司使用其肖像...」
(風險：依據民法，無償贈與可依法撤銷。若無給付對價，員工未來隨時能以侵害人格權為由要求撤回授權。)</t>
        </is>
      </c>
      <c r="C5" s="88" t="inlineStr">
        <is>
          <t>「本授權為有償且不可撤回之授權。雙方同意授權對價為新台幣 ____ 元整 (或明定包含於每月薪資之特定加給中)。授權人確認已充分收受該對價，並承諾日後絕不以任何理由撤銷、終止本授權或主張任何額外之權利金。」</t>
        </is>
      </c>
      <c r="D5" s="87" t="inlineStr"/>
    </row>
    <row r="6" ht="100" customHeight="1" s="12">
      <c r="A6" s="87" t="inlineStr">
        <is>
          <t>三、僱傭關係終止後之效力豁免</t>
        </is>
      </c>
      <c r="B6" s="88" t="inlineStr">
        <is>
          <t>「本同意書於雙方僱傭存續期間有效。」或未約定離職後效力。
(風險：員工一旦離職，肖像授權自動失效，公司必須將所有含有該員工臉部特徵的 YouTube、官網行銷影片全數下架。)</t>
        </is>
      </c>
      <c r="C6" s="88" t="inlineStr">
        <is>
          <t>「本授權之效力不受雙方僱傭關係終止、解除、或變更之影響。授權人離職後，被授權人仍有權永久、不限地域、不限次數，將已生成及未來基於本合約授權生成之 AI 衍生影音內容，用於商業行銷、對外宣傳及所有合法之營運目的。」</t>
        </is>
      </c>
      <c r="D6" s="87" t="inlineStr"/>
    </row>
    <row r="8" ht="25" customHeight="1" s="12">
      <c r="A8" s="89" t="inlineStr">
        <is>
          <t>AI 肖像安全度加權分數 (具備保命條款數 / 總條款數)</t>
        </is>
      </c>
      <c r="D8" s="90">
        <f>COUNTIF(D4:D6, "是 (已包含)") &amp; " / 3"</f>
        <v/>
      </c>
    </row>
  </sheetData>
  <mergeCells count="3">
    <mergeCell ref="A1:D1"/>
    <mergeCell ref="A8:C8"/>
    <mergeCell ref="A2:D2"/>
  </mergeCells>
  <dataValidations count="1">
    <dataValidation sqref="D4 D5 D6" showDropDown="0" showInputMessage="0" showErrorMessage="0" allowBlank="1" type="list">
      <formula1>"是 (已包含),否 (需修改),不適用"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style="12" min="1" max="1"/>
    <col width="28" customWidth="1" style="12" min="2" max="2"/>
    <col width="20" customWidth="1" style="12" min="3" max="3"/>
    <col width="30" customWidth="1" style="12" min="4" max="4"/>
    <col width="28" customWidth="1" style="12" min="5" max="5"/>
    <col width="30" customWidth="1" style="12" min="6" max="6"/>
    <col width="28" customWidth="1" style="12" min="7" max="7"/>
  </cols>
  <sheetData>
    <row r="1" ht="31.95" customHeight="1" s="12">
      <c r="A1" s="65" t="inlineStr">
        <is>
          <t>📋 主表四：營運、治理與組織變革畫布 (Ops &amp; Governance Canvas)</t>
        </is>
      </c>
    </row>
    <row r="2" ht="22.05" customHeight="1" s="12">
      <c r="A2" s="64" t="inlineStr">
        <is>
          <t xml:space="preserve">  ℹ️ 使用說明：系統上線後的關鍵問題——誰負責維護？預算如何控制？人機決策如何分工？此表確保系統不會在上線後因無人維護而死去。</t>
        </is>
      </c>
    </row>
    <row r="3" ht="40.05" customHeight="1" s="12">
      <c r="A3" s="7" t="inlineStr">
        <is>
          <t>場景名稱</t>
        </is>
      </c>
      <c r="B3" s="7" t="inlineStr">
        <is>
          <t>人機協作角色
Autonomous/Copilot/Validator</t>
        </is>
      </c>
      <c r="C3" s="7" t="inlineStr">
        <is>
          <t>單月 API
財務告警閾值 (TWD)</t>
        </is>
      </c>
      <c r="D3" s="7" t="inlineStr">
        <is>
          <t>持續維運分工
(LLMOps)</t>
        </is>
      </c>
      <c r="E3" s="7" t="inlineStr">
        <is>
          <t>技能升級計畫
(培訓天數與內容)</t>
        </is>
      </c>
      <c r="F3" s="7" t="inlineStr">
        <is>
          <t>年度績效 KPI 設計
(如何與考核掛鉤)</t>
        </is>
      </c>
      <c r="G3" s="7" t="inlineStr">
        <is>
          <t>ISO 42001 合規稽核
(Y/N + 說明)</t>
        </is>
      </c>
    </row>
    <row r="4" ht="55.05" customHeight="1" s="12">
      <c r="A4" s="2" t="inlineStr">
        <is>
          <t>售後技術客服 RAG</t>
        </is>
      </c>
      <c r="B4" s="2" t="inlineStr">
        <is>
          <t>🟡 Copilot
AI出草稿 → 客服確認後回覆</t>
        </is>
      </c>
      <c r="C4" s="2" t="inlineStr">
        <is>
          <t>NT$ 5,000
（超過自動告警IT主管）</t>
        </is>
      </c>
      <c r="D4" s="2" t="inlineStr">
        <is>
          <t>IT部：向量庫每週更新
客服部：知識庫勘誤回報</t>
        </is>
      </c>
      <c r="E4" s="2" t="inlineStr">
        <is>
          <t>全員 2小時
「Prompt高效提問法」培訓</t>
        </is>
      </c>
      <c r="F4" s="2" t="inlineStr">
        <is>
          <t>將「使用AI縮短結案時間」
納入客服年終績效加分項</t>
        </is>
      </c>
      <c r="G4" s="2" t="inlineStr">
        <is>
          <t>Y — 記錄對話日誌 90天
定期抽樣 5% 合規審查</t>
        </is>
      </c>
    </row>
    <row r="5" ht="55.05" customHeight="1" s="12">
      <c r="A5" s="4" t="n"/>
      <c r="B5" s="4" t="n"/>
      <c r="C5" s="4" t="n"/>
      <c r="D5" s="4" t="n"/>
      <c r="E5" s="4" t="n"/>
      <c r="F5" s="4" t="n"/>
      <c r="G5" s="4" t="n"/>
    </row>
    <row r="6" ht="55.05" customHeight="1" s="12">
      <c r="A6" s="4" t="n"/>
      <c r="B6" s="4" t="n"/>
      <c r="C6" s="4" t="n"/>
      <c r="D6" s="4" t="n"/>
      <c r="E6" s="4" t="n"/>
      <c r="F6" s="4" t="n"/>
      <c r="G6" s="4" t="n"/>
    </row>
    <row r="7" ht="55.05" customHeight="1" s="12">
      <c r="A7" s="4" t="n"/>
      <c r="B7" s="4" t="n"/>
      <c r="C7" s="4" t="n"/>
      <c r="D7" s="4" t="n"/>
      <c r="E7" s="4" t="n"/>
      <c r="F7" s="4" t="n"/>
      <c r="G7" s="4" t="n"/>
    </row>
    <row r="8" ht="55.05" customHeight="1" s="12">
      <c r="A8" s="4" t="n"/>
      <c r="B8" s="4" t="n"/>
      <c r="C8" s="4" t="n"/>
      <c r="D8" s="4" t="n"/>
      <c r="E8" s="4" t="n"/>
      <c r="F8" s="4" t="n"/>
      <c r="G8" s="4" t="n"/>
    </row>
  </sheetData>
  <mergeCells count="2">
    <mergeCell ref="A2:G2"/>
    <mergeCell ref="A1:G1"/>
  </mergeCells>
  <dataValidations count="1">
    <dataValidation sqref="B4 B5 B6 B7 B8" showDropDown="0" showInputMessage="0" showErrorMessage="0" allowBlank="0" type="list">
      <formula1>"🟢 Autonomous（AI全自動執行）,🟡 Copilot（AI草稿+人工確認）,🔴 Validator（AI建議+人類最終裁決）"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2026-05-21T10:39:34Z</dcterms:created>
  <dcterms:modified xsi:type="dcterms:W3CDTF">2026-06-17T10:16:55Z</dcterms:modified>
  <cp:lastModifiedBy>淑慧 孟</cp:lastModifiedBy>
</cp:coreProperties>
</file>